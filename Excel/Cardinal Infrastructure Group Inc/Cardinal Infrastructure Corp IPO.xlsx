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oscar\Desktop\Backup\Asuntos personales\Maestría en Riesgo y Finanzas\III Cuatrimestre 2025\Finanzas Corporativas\Examen final\Corregidos\"/>
    </mc:Choice>
  </mc:AlternateContent>
  <xr:revisionPtr revIDLastSave="0" documentId="13_ncr:1_{AF17C063-B41E-49B2-9DC1-66505C926022}" xr6:coauthVersionLast="47" xr6:coauthVersionMax="47" xr10:uidLastSave="{00000000-0000-0000-0000-000000000000}"/>
  <bookViews>
    <workbookView xWindow="-120" yWindow="-120" windowWidth="29040" windowHeight="15720" xr2:uid="{42634447-AAB5-4E91-8992-7F013920A39C}"/>
  </bookViews>
  <sheets>
    <sheet name="Noticia" sheetId="11" r:id="rId1"/>
    <sheet name="Empresas comparables" sheetId="12" r:id="rId2"/>
    <sheet name="BS" sheetId="5" r:id="rId3"/>
    <sheet name="IS" sheetId="6" r:id="rId4"/>
    <sheet name="Análisis Financiero" sheetId="7" r:id="rId5"/>
    <sheet name="Análisis de comparabilidad" sheetId="13" r:id="rId6"/>
    <sheet name="Valoración por mútiplos" sheetId="14" r:id="rId7"/>
    <sheet name="WACC" sheetId="10" r:id="rId8"/>
    <sheet name="Supuestos DCF - Perpetuo" sheetId="25" r:id="rId9"/>
    <sheet name="Supuestos DCF - Múltiplo" sheetId="15" state="hidden" r:id="rId10"/>
    <sheet name="DCF Pesismista - Perpetuo" sheetId="16" r:id="rId11"/>
    <sheet name="DCF Base - Perpetuo" sheetId="32" r:id="rId12"/>
    <sheet name="DCF Optimista - Perpetuo" sheetId="3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33" l="1"/>
  <c r="D25" i="33"/>
  <c r="C25" i="33"/>
  <c r="D26" i="33" s="1"/>
  <c r="D24" i="33"/>
  <c r="D27" i="33" s="1"/>
  <c r="C24" i="33"/>
  <c r="C23" i="33" s="1"/>
  <c r="C9" i="33" s="1"/>
  <c r="D22" i="33"/>
  <c r="D21" i="33" s="1"/>
  <c r="D8" i="33" s="1"/>
  <c r="C22" i="33"/>
  <c r="C21" i="33" s="1"/>
  <c r="C8" i="33" s="1"/>
  <c r="E8" i="33" s="1"/>
  <c r="C19" i="33"/>
  <c r="N19" i="33" s="1"/>
  <c r="D18" i="33"/>
  <c r="C18" i="33"/>
  <c r="C20" i="33" s="1"/>
  <c r="D16" i="33"/>
  <c r="C16" i="33"/>
  <c r="C5" i="33"/>
  <c r="C3" i="33"/>
  <c r="C32" i="25"/>
  <c r="D32" i="25"/>
  <c r="E32" i="25"/>
  <c r="C33" i="25"/>
  <c r="E33" i="25" s="1"/>
  <c r="D33" i="25"/>
  <c r="C34" i="32"/>
  <c r="D25" i="32"/>
  <c r="C25" i="32"/>
  <c r="D26" i="32" s="1"/>
  <c r="D24" i="32"/>
  <c r="C24" i="32"/>
  <c r="D22" i="32"/>
  <c r="C22" i="32"/>
  <c r="D18" i="32"/>
  <c r="C18" i="32"/>
  <c r="D16" i="32"/>
  <c r="C16" i="32"/>
  <c r="C5" i="32"/>
  <c r="C19" i="32" s="1"/>
  <c r="N19" i="32" s="1"/>
  <c r="C3" i="32"/>
  <c r="D16" i="16"/>
  <c r="C16" i="16"/>
  <c r="C5" i="16"/>
  <c r="C19" i="16" s="1"/>
  <c r="E28" i="10"/>
  <c r="D28" i="10"/>
  <c r="C28" i="10"/>
  <c r="E13" i="7"/>
  <c r="D14" i="7"/>
  <c r="E14" i="7"/>
  <c r="E22" i="10"/>
  <c r="D22" i="10"/>
  <c r="C22" i="10"/>
  <c r="E11" i="10"/>
  <c r="E10" i="10"/>
  <c r="D10" i="10"/>
  <c r="D11" i="10" s="1"/>
  <c r="C10" i="10"/>
  <c r="C11" i="10" s="1"/>
  <c r="E13" i="10"/>
  <c r="D13" i="10"/>
  <c r="C13" i="10"/>
  <c r="E12" i="10"/>
  <c r="D12" i="10"/>
  <c r="C12" i="10"/>
  <c r="H14" i="14"/>
  <c r="G6" i="14"/>
  <c r="G7" i="14"/>
  <c r="D30" i="25"/>
  <c r="D37" i="25" s="1"/>
  <c r="D44" i="25" s="1"/>
  <c r="C30" i="25"/>
  <c r="F23" i="25"/>
  <c r="E23" i="25"/>
  <c r="D23" i="25"/>
  <c r="E21" i="25"/>
  <c r="D21" i="25"/>
  <c r="C21" i="25"/>
  <c r="E20" i="25"/>
  <c r="D20" i="25"/>
  <c r="C20" i="25"/>
  <c r="E19" i="25"/>
  <c r="D19" i="25"/>
  <c r="C19" i="25"/>
  <c r="E16" i="25"/>
  <c r="D16" i="25"/>
  <c r="C16" i="25"/>
  <c r="E14" i="25"/>
  <c r="D14" i="25"/>
  <c r="C14" i="25"/>
  <c r="F12" i="25"/>
  <c r="E11" i="25"/>
  <c r="D11" i="25"/>
  <c r="C11" i="25"/>
  <c r="E10" i="25"/>
  <c r="D10" i="25"/>
  <c r="C10" i="25"/>
  <c r="E8" i="25"/>
  <c r="D8" i="25"/>
  <c r="C8" i="25"/>
  <c r="E7" i="25"/>
  <c r="D7" i="25"/>
  <c r="C7" i="25"/>
  <c r="E6" i="25"/>
  <c r="E13" i="25" s="1"/>
  <c r="D6" i="25"/>
  <c r="D13" i="25" s="1"/>
  <c r="C6" i="25"/>
  <c r="C13" i="25" s="1"/>
  <c r="E29" i="7"/>
  <c r="D29" i="7"/>
  <c r="C32" i="15" s="1"/>
  <c r="D18" i="16"/>
  <c r="D17" i="16" s="1"/>
  <c r="C18" i="16"/>
  <c r="C17" i="16" s="1"/>
  <c r="P21" i="7"/>
  <c r="R21" i="7" s="1"/>
  <c r="P17" i="7"/>
  <c r="R17" i="7" s="1"/>
  <c r="P16" i="7"/>
  <c r="R16" i="7" s="1"/>
  <c r="N22" i="7"/>
  <c r="O22" i="7" s="1"/>
  <c r="O19" i="7"/>
  <c r="O20" i="7"/>
  <c r="O21" i="7"/>
  <c r="P5" i="7"/>
  <c r="O17" i="7" s="1"/>
  <c r="P6" i="7"/>
  <c r="O18" i="7" s="1"/>
  <c r="P4" i="7"/>
  <c r="O16" i="7" s="1"/>
  <c r="N21" i="33" l="1"/>
  <c r="M21" i="33"/>
  <c r="L21" i="33"/>
  <c r="K21" i="33"/>
  <c r="J21" i="33"/>
  <c r="I21" i="33"/>
  <c r="H21" i="33"/>
  <c r="E21" i="33"/>
  <c r="G21" i="33"/>
  <c r="F21" i="33"/>
  <c r="E16" i="33"/>
  <c r="C17" i="33"/>
  <c r="C7" i="33" s="1"/>
  <c r="D17" i="33"/>
  <c r="D7" i="33" s="1"/>
  <c r="G19" i="33"/>
  <c r="H19" i="33"/>
  <c r="F19" i="33"/>
  <c r="I19" i="33"/>
  <c r="J19" i="33"/>
  <c r="D15" i="33"/>
  <c r="M19" i="33"/>
  <c r="D19" i="33"/>
  <c r="D20" i="33" s="1"/>
  <c r="D23" i="33"/>
  <c r="D9" i="33" s="1"/>
  <c r="E9" i="33" s="1"/>
  <c r="E19" i="33"/>
  <c r="K19" i="33"/>
  <c r="L19" i="33"/>
  <c r="F21" i="25"/>
  <c r="F7" i="25"/>
  <c r="F13" i="25"/>
  <c r="F11" i="25"/>
  <c r="F20" i="25"/>
  <c r="F10" i="25"/>
  <c r="E30" i="25"/>
  <c r="E37" i="25" s="1"/>
  <c r="E44" i="25" s="1"/>
  <c r="C21" i="32"/>
  <c r="C8" i="32" s="1"/>
  <c r="D21" i="32"/>
  <c r="D8" i="32" s="1"/>
  <c r="E8" i="32" s="1"/>
  <c r="F8" i="32" s="1"/>
  <c r="D27" i="32"/>
  <c r="C23" i="32"/>
  <c r="C9" i="32" s="1"/>
  <c r="C20" i="32"/>
  <c r="C17" i="32"/>
  <c r="C7" i="32" s="1"/>
  <c r="G19" i="32"/>
  <c r="D15" i="32"/>
  <c r="E16" i="32" s="1"/>
  <c r="D19" i="32"/>
  <c r="D20" i="32" s="1"/>
  <c r="F19" i="32"/>
  <c r="H19" i="32"/>
  <c r="I19" i="32"/>
  <c r="D17" i="32"/>
  <c r="D7" i="32" s="1"/>
  <c r="D23" i="32"/>
  <c r="D9" i="32" s="1"/>
  <c r="E19" i="32"/>
  <c r="J19" i="32"/>
  <c r="K19" i="32"/>
  <c r="L19" i="32"/>
  <c r="M19" i="32"/>
  <c r="D15" i="16"/>
  <c r="D32" i="15"/>
  <c r="D41" i="15" s="1"/>
  <c r="F8" i="25"/>
  <c r="F16" i="25"/>
  <c r="C15" i="25"/>
  <c r="D15" i="25"/>
  <c r="C37" i="25"/>
  <c r="C44" i="25" s="1"/>
  <c r="E15" i="25"/>
  <c r="F19" i="25"/>
  <c r="C17" i="25"/>
  <c r="D17" i="25"/>
  <c r="F6" i="25"/>
  <c r="E17" i="25"/>
  <c r="F14" i="25"/>
  <c r="E32" i="15"/>
  <c r="E41" i="15" s="1"/>
  <c r="E50" i="15" s="1"/>
  <c r="C50" i="15"/>
  <c r="C41" i="15"/>
  <c r="S16" i="7"/>
  <c r="S21" i="7"/>
  <c r="S17" i="7"/>
  <c r="N23" i="33" l="1"/>
  <c r="K23" i="33"/>
  <c r="M23" i="33"/>
  <c r="L23" i="33"/>
  <c r="J23" i="33"/>
  <c r="I23" i="33"/>
  <c r="E23" i="33"/>
  <c r="E24" i="33" s="1"/>
  <c r="H23" i="33"/>
  <c r="F23" i="33"/>
  <c r="G23" i="33"/>
  <c r="E22" i="33"/>
  <c r="E7" i="33"/>
  <c r="F7" i="33" s="1"/>
  <c r="B12" i="33"/>
  <c r="E15" i="33" s="1"/>
  <c r="L21" i="32"/>
  <c r="F21" i="32"/>
  <c r="G21" i="32"/>
  <c r="K21" i="32"/>
  <c r="I21" i="32"/>
  <c r="J21" i="32"/>
  <c r="H21" i="32"/>
  <c r="M21" i="32"/>
  <c r="N21" i="32"/>
  <c r="E21" i="32"/>
  <c r="E22" i="32" s="1"/>
  <c r="E9" i="32"/>
  <c r="E7" i="32"/>
  <c r="F7" i="32" s="1"/>
  <c r="I17" i="32" s="1"/>
  <c r="B12" i="32"/>
  <c r="E15" i="32" s="1"/>
  <c r="F16" i="32" s="1"/>
  <c r="E16" i="16"/>
  <c r="I8" i="14"/>
  <c r="G8" i="14"/>
  <c r="D14" i="14" s="1"/>
  <c r="D17" i="14" s="1"/>
  <c r="D21" i="14" s="1"/>
  <c r="H8" i="14"/>
  <c r="E14" i="14" s="1"/>
  <c r="E17" i="14" s="1"/>
  <c r="E21" i="14" s="1"/>
  <c r="F8" i="14"/>
  <c r="C14" i="14" s="1"/>
  <c r="C17" i="14" s="1"/>
  <c r="C21" i="14" s="1"/>
  <c r="D50" i="15"/>
  <c r="F15" i="25"/>
  <c r="F17" i="25"/>
  <c r="S23" i="7"/>
  <c r="E27" i="33" l="1"/>
  <c r="E25" i="33"/>
  <c r="E26" i="33" s="1"/>
  <c r="F15" i="33"/>
  <c r="G15" i="33" s="1"/>
  <c r="H15" i="33" s="1"/>
  <c r="I15" i="33" s="1"/>
  <c r="J15" i="33" s="1"/>
  <c r="K15" i="33" s="1"/>
  <c r="L15" i="33" s="1"/>
  <c r="M15" i="33" s="1"/>
  <c r="N15" i="33" s="1"/>
  <c r="F16" i="33"/>
  <c r="N17" i="33"/>
  <c r="M17" i="33"/>
  <c r="L17" i="33"/>
  <c r="K17" i="33"/>
  <c r="J17" i="33"/>
  <c r="E17" i="33"/>
  <c r="E18" i="33" s="1"/>
  <c r="E20" i="33" s="1"/>
  <c r="E29" i="33" s="1"/>
  <c r="E30" i="33" s="1"/>
  <c r="I17" i="33"/>
  <c r="H17" i="33"/>
  <c r="F17" i="33"/>
  <c r="G17" i="33"/>
  <c r="L17" i="32"/>
  <c r="F17" i="32"/>
  <c r="J17" i="32"/>
  <c r="K17" i="32"/>
  <c r="M17" i="32"/>
  <c r="F9" i="32"/>
  <c r="I23" i="32" s="1"/>
  <c r="N17" i="32"/>
  <c r="M23" i="32"/>
  <c r="E23" i="32"/>
  <c r="E24" i="32" s="1"/>
  <c r="E25" i="32" s="1"/>
  <c r="E26" i="32" s="1"/>
  <c r="N23" i="32"/>
  <c r="G23" i="32"/>
  <c r="L23" i="32"/>
  <c r="E17" i="32"/>
  <c r="E18" i="32" s="1"/>
  <c r="E20" i="32" s="1"/>
  <c r="G17" i="32"/>
  <c r="H17" i="32"/>
  <c r="F15" i="32"/>
  <c r="G15" i="32" s="1"/>
  <c r="H15" i="32" s="1"/>
  <c r="I15" i="32" s="1"/>
  <c r="J15" i="32" s="1"/>
  <c r="K15" i="32" s="1"/>
  <c r="L15" i="32" s="1"/>
  <c r="M15" i="32" s="1"/>
  <c r="N15" i="32" s="1"/>
  <c r="F22" i="33" l="1"/>
  <c r="F18" i="33"/>
  <c r="F20" i="33" s="1"/>
  <c r="F24" i="33"/>
  <c r="G16" i="33"/>
  <c r="J23" i="32"/>
  <c r="F23" i="32"/>
  <c r="K23" i="32"/>
  <c r="H23" i="32"/>
  <c r="E27" i="32"/>
  <c r="E29" i="32"/>
  <c r="E30" i="32" s="1"/>
  <c r="F24" i="32"/>
  <c r="G16" i="32"/>
  <c r="F22" i="32"/>
  <c r="F18" i="32"/>
  <c r="F20" i="32" s="1"/>
  <c r="F25" i="33" l="1"/>
  <c r="F26" i="33" s="1"/>
  <c r="F27" i="33"/>
  <c r="G18" i="33"/>
  <c r="G20" i="33" s="1"/>
  <c r="H16" i="33"/>
  <c r="G24" i="33"/>
  <c r="G22" i="33"/>
  <c r="F29" i="33"/>
  <c r="F30" i="33" s="1"/>
  <c r="H16" i="32"/>
  <c r="G22" i="32"/>
  <c r="G18" i="32"/>
  <c r="G20" i="32" s="1"/>
  <c r="G24" i="32"/>
  <c r="F27" i="32"/>
  <c r="F25" i="32"/>
  <c r="F26" i="32" s="1"/>
  <c r="F29" i="32" s="1"/>
  <c r="F30" i="32" s="1"/>
  <c r="G27" i="33" l="1"/>
  <c r="G25" i="33"/>
  <c r="G26" i="33" s="1"/>
  <c r="I16" i="33"/>
  <c r="H24" i="33"/>
  <c r="H22" i="33"/>
  <c r="H18" i="33"/>
  <c r="H20" i="33" s="1"/>
  <c r="G29" i="33"/>
  <c r="G30" i="33" s="1"/>
  <c r="G27" i="32"/>
  <c r="G25" i="32"/>
  <c r="G26" i="32" s="1"/>
  <c r="G29" i="32"/>
  <c r="G30" i="32" s="1"/>
  <c r="I16" i="32"/>
  <c r="H24" i="32"/>
  <c r="H22" i="32"/>
  <c r="H18" i="32"/>
  <c r="H20" i="32" s="1"/>
  <c r="H25" i="33" l="1"/>
  <c r="H26" i="33" s="1"/>
  <c r="H27" i="33"/>
  <c r="H29" i="33"/>
  <c r="H30" i="33" s="1"/>
  <c r="J16" i="33"/>
  <c r="I24" i="33"/>
  <c r="I22" i="33"/>
  <c r="I18" i="33"/>
  <c r="I20" i="33" s="1"/>
  <c r="H25" i="32"/>
  <c r="H26" i="32" s="1"/>
  <c r="H29" i="32" s="1"/>
  <c r="H30" i="32" s="1"/>
  <c r="H27" i="32"/>
  <c r="J16" i="32"/>
  <c r="I18" i="32"/>
  <c r="I20" i="32" s="1"/>
  <c r="I24" i="32"/>
  <c r="I22" i="32"/>
  <c r="I25" i="33" l="1"/>
  <c r="I26" i="33" s="1"/>
  <c r="I27" i="33"/>
  <c r="K16" i="33"/>
  <c r="J24" i="33"/>
  <c r="J22" i="33"/>
  <c r="J18" i="33"/>
  <c r="J20" i="33" s="1"/>
  <c r="I29" i="33"/>
  <c r="I30" i="33" s="1"/>
  <c r="I25" i="32"/>
  <c r="I26" i="32" s="1"/>
  <c r="I27" i="32"/>
  <c r="K16" i="32"/>
  <c r="J24" i="32"/>
  <c r="J22" i="32"/>
  <c r="J18" i="32"/>
  <c r="J20" i="32" s="1"/>
  <c r="I29" i="32"/>
  <c r="I30" i="32" s="1"/>
  <c r="J25" i="33" l="1"/>
  <c r="J26" i="33" s="1"/>
  <c r="J29" i="33" s="1"/>
  <c r="J30" i="33" s="1"/>
  <c r="J27" i="33"/>
  <c r="K22" i="33"/>
  <c r="K18" i="33"/>
  <c r="K20" i="33" s="1"/>
  <c r="L16" i="33"/>
  <c r="K24" i="33"/>
  <c r="J25" i="32"/>
  <c r="J26" i="32" s="1"/>
  <c r="J27" i="32"/>
  <c r="J29" i="32"/>
  <c r="J30" i="32" s="1"/>
  <c r="L16" i="32"/>
  <c r="K24" i="32"/>
  <c r="K22" i="32"/>
  <c r="K18" i="32"/>
  <c r="K20" i="32" s="1"/>
  <c r="K25" i="33" l="1"/>
  <c r="K26" i="33" s="1"/>
  <c r="K29" i="33" s="1"/>
  <c r="K30" i="33" s="1"/>
  <c r="K27" i="33"/>
  <c r="M16" i="33"/>
  <c r="L24" i="33"/>
  <c r="L22" i="33"/>
  <c r="L18" i="33"/>
  <c r="L20" i="33" s="1"/>
  <c r="K25" i="32"/>
  <c r="K26" i="32" s="1"/>
  <c r="K29" i="32" s="1"/>
  <c r="K30" i="32" s="1"/>
  <c r="K27" i="32"/>
  <c r="M16" i="32"/>
  <c r="L24" i="32"/>
  <c r="L22" i="32"/>
  <c r="L18" i="32"/>
  <c r="L20" i="32" s="1"/>
  <c r="L25" i="33" l="1"/>
  <c r="L26" i="33" s="1"/>
  <c r="L29" i="33" s="1"/>
  <c r="L30" i="33" s="1"/>
  <c r="L27" i="33"/>
  <c r="N16" i="33"/>
  <c r="M24" i="33"/>
  <c r="M22" i="33"/>
  <c r="M18" i="33"/>
  <c r="M20" i="33" s="1"/>
  <c r="N16" i="32"/>
  <c r="M22" i="32"/>
  <c r="M18" i="32"/>
  <c r="M20" i="32" s="1"/>
  <c r="M24" i="32"/>
  <c r="L25" i="32"/>
  <c r="L26" i="32" s="1"/>
  <c r="L29" i="32" s="1"/>
  <c r="L30" i="32" s="1"/>
  <c r="L27" i="32"/>
  <c r="M25" i="33" l="1"/>
  <c r="M26" i="33" s="1"/>
  <c r="M29" i="33" s="1"/>
  <c r="M30" i="33" s="1"/>
  <c r="M27" i="33"/>
  <c r="N24" i="33"/>
  <c r="N22" i="33"/>
  <c r="N18" i="33"/>
  <c r="N20" i="33" s="1"/>
  <c r="M25" i="32"/>
  <c r="M26" i="32" s="1"/>
  <c r="M27" i="32"/>
  <c r="M29" i="32"/>
  <c r="M30" i="32" s="1"/>
  <c r="N24" i="32"/>
  <c r="N22" i="32"/>
  <c r="N18" i="32"/>
  <c r="N20" i="32" s="1"/>
  <c r="E30" i="7"/>
  <c r="D30" i="7"/>
  <c r="J19" i="16"/>
  <c r="F12" i="15"/>
  <c r="F23" i="15"/>
  <c r="E23" i="15"/>
  <c r="D23" i="15"/>
  <c r="E21" i="15"/>
  <c r="D21" i="15"/>
  <c r="C21" i="15"/>
  <c r="E20" i="15"/>
  <c r="D20" i="15"/>
  <c r="C20" i="15"/>
  <c r="E19" i="15"/>
  <c r="D19" i="15"/>
  <c r="C19" i="15"/>
  <c r="E16" i="15"/>
  <c r="D16" i="15"/>
  <c r="C16" i="15"/>
  <c r="E14" i="15"/>
  <c r="D14" i="15"/>
  <c r="C14" i="15"/>
  <c r="E11" i="15"/>
  <c r="D11" i="15"/>
  <c r="C11" i="15"/>
  <c r="E10" i="15"/>
  <c r="D10" i="15"/>
  <c r="C10" i="15"/>
  <c r="E8" i="15"/>
  <c r="D8" i="15"/>
  <c r="C8" i="15"/>
  <c r="E7" i="15"/>
  <c r="D7" i="15"/>
  <c r="C7" i="15"/>
  <c r="E6" i="15"/>
  <c r="E13" i="15" s="1"/>
  <c r="D6" i="15"/>
  <c r="C6" i="15"/>
  <c r="C30" i="15"/>
  <c r="C39" i="15" s="1"/>
  <c r="C48" i="15" s="1"/>
  <c r="D30" i="15"/>
  <c r="D39" i="15" s="1"/>
  <c r="D48" i="15" s="1"/>
  <c r="E28" i="7"/>
  <c r="D28" i="7"/>
  <c r="E27" i="7"/>
  <c r="D27" i="7"/>
  <c r="E26" i="7"/>
  <c r="D26" i="7"/>
  <c r="C39" i="10"/>
  <c r="G41" i="10" s="1"/>
  <c r="E29" i="10"/>
  <c r="D29" i="10"/>
  <c r="C29" i="10"/>
  <c r="C20" i="10"/>
  <c r="D20" i="10"/>
  <c r="D21" i="10" s="1"/>
  <c r="E20" i="10"/>
  <c r="E21" i="10" s="1"/>
  <c r="N25" i="33" l="1"/>
  <c r="N26" i="33" s="1"/>
  <c r="N29" i="33" s="1"/>
  <c r="N27" i="33"/>
  <c r="N25" i="32"/>
  <c r="N26" i="32" s="1"/>
  <c r="N29" i="32" s="1"/>
  <c r="N27" i="32"/>
  <c r="D36" i="15"/>
  <c r="D45" i="15" s="1"/>
  <c r="D54" i="15" s="1"/>
  <c r="D34" i="25"/>
  <c r="D41" i="25" s="1"/>
  <c r="D48" i="25" s="1"/>
  <c r="D40" i="15"/>
  <c r="D45" i="25"/>
  <c r="D38" i="25"/>
  <c r="D31" i="25"/>
  <c r="C45" i="25"/>
  <c r="C31" i="25"/>
  <c r="D34" i="15"/>
  <c r="D43" i="15" s="1"/>
  <c r="D52" i="15" s="1"/>
  <c r="C34" i="15"/>
  <c r="C43" i="15" s="1"/>
  <c r="C52" i="15" s="1"/>
  <c r="C36" i="15"/>
  <c r="C34" i="25"/>
  <c r="C31" i="15"/>
  <c r="C40" i="15" s="1"/>
  <c r="D31" i="15"/>
  <c r="D49" i="15"/>
  <c r="C49" i="15"/>
  <c r="F8" i="15"/>
  <c r="C20" i="16"/>
  <c r="C7" i="16"/>
  <c r="D7" i="16"/>
  <c r="E19" i="16"/>
  <c r="K19" i="16"/>
  <c r="L19" i="16"/>
  <c r="D19" i="16"/>
  <c r="D20" i="16" s="1"/>
  <c r="M19" i="16"/>
  <c r="N19" i="16"/>
  <c r="F19" i="16"/>
  <c r="G19" i="16"/>
  <c r="H19" i="16"/>
  <c r="I19" i="16"/>
  <c r="E36" i="15"/>
  <c r="E45" i="15" s="1"/>
  <c r="E54" i="15" s="1"/>
  <c r="F6" i="15"/>
  <c r="F20" i="15"/>
  <c r="F7" i="15"/>
  <c r="F21" i="15"/>
  <c r="F14" i="15"/>
  <c r="D17" i="15"/>
  <c r="C45" i="15"/>
  <c r="C54" i="15" s="1"/>
  <c r="C13" i="15"/>
  <c r="D13" i="15"/>
  <c r="F19" i="15"/>
  <c r="F10" i="15"/>
  <c r="F11" i="15"/>
  <c r="C15" i="15"/>
  <c r="C17" i="15"/>
  <c r="E17" i="15"/>
  <c r="D15" i="15"/>
  <c r="E15" i="15"/>
  <c r="F16" i="15"/>
  <c r="E30" i="15"/>
  <c r="E39" i="15" s="1"/>
  <c r="E48" i="15" s="1"/>
  <c r="C31" i="33" l="1"/>
  <c r="C32" i="33" s="1"/>
  <c r="N30" i="33"/>
  <c r="C31" i="32"/>
  <c r="C32" i="32" s="1"/>
  <c r="N30" i="32"/>
  <c r="B12" i="16"/>
  <c r="E15" i="16" s="1"/>
  <c r="C38" i="25"/>
  <c r="E31" i="25"/>
  <c r="E38" i="25" s="1"/>
  <c r="E45" i="25" s="1"/>
  <c r="E31" i="15"/>
  <c r="E40" i="15" s="1"/>
  <c r="E49" i="15" s="1"/>
  <c r="E34" i="15"/>
  <c r="E43" i="15" s="1"/>
  <c r="E52" i="15" s="1"/>
  <c r="E34" i="25"/>
  <c r="E41" i="25" s="1"/>
  <c r="E48" i="25" s="1"/>
  <c r="C41" i="25"/>
  <c r="C48" i="25" s="1"/>
  <c r="F17" i="15"/>
  <c r="E7" i="16"/>
  <c r="F7" i="16" s="1"/>
  <c r="F13" i="15"/>
  <c r="F15" i="15"/>
  <c r="C33" i="33" l="1"/>
  <c r="C35" i="33" s="1"/>
  <c r="C36" i="33" s="1"/>
  <c r="C33" i="32"/>
  <c r="C35" i="32" s="1"/>
  <c r="C36" i="32" s="1"/>
  <c r="F15" i="16"/>
  <c r="G15" i="16" s="1"/>
  <c r="H15" i="16" s="1"/>
  <c r="I15" i="16" s="1"/>
  <c r="J15" i="16" s="1"/>
  <c r="K15" i="16" s="1"/>
  <c r="L15" i="16" s="1"/>
  <c r="M15" i="16" s="1"/>
  <c r="N15" i="16" s="1"/>
  <c r="F16" i="16"/>
  <c r="L17" i="16"/>
  <c r="N17" i="16"/>
  <c r="K17" i="16"/>
  <c r="J17" i="16"/>
  <c r="I17" i="16"/>
  <c r="M17" i="16"/>
  <c r="H17" i="16"/>
  <c r="G17" i="16"/>
  <c r="F17" i="16"/>
  <c r="E17" i="16"/>
  <c r="F18" i="16" l="1"/>
  <c r="E18" i="16"/>
  <c r="E20" i="16" s="1"/>
  <c r="G16" i="16"/>
  <c r="F20" i="16"/>
  <c r="G18" i="16" l="1"/>
  <c r="G20" i="16" s="1"/>
  <c r="H16" i="16"/>
  <c r="H18" i="16" l="1"/>
  <c r="H20" i="16" s="1"/>
  <c r="I16" i="16"/>
  <c r="I18" i="16" l="1"/>
  <c r="I20" i="16" s="1"/>
  <c r="J16" i="16"/>
  <c r="J18" i="16" l="1"/>
  <c r="J20" i="16" s="1"/>
  <c r="K16" i="16"/>
  <c r="K18" i="16" l="1"/>
  <c r="K20" i="16" s="1"/>
  <c r="L16" i="16"/>
  <c r="L18" i="16" l="1"/>
  <c r="L20" i="16" s="1"/>
  <c r="M16" i="16"/>
  <c r="M18" i="16" l="1"/>
  <c r="M20" i="16" s="1"/>
  <c r="N16" i="16"/>
  <c r="N18" i="16" l="1"/>
  <c r="N20" i="16" s="1"/>
  <c r="C21" i="10"/>
  <c r="E17" i="10"/>
  <c r="E18" i="10" s="1"/>
  <c r="D17" i="10"/>
  <c r="D18" i="10" s="1"/>
  <c r="C17" i="10"/>
  <c r="C18" i="10" s="1"/>
  <c r="D45" i="7"/>
  <c r="D6" i="7"/>
  <c r="E6" i="7"/>
  <c r="D22" i="16" l="1"/>
  <c r="C22" i="16"/>
  <c r="E14" i="13"/>
  <c r="I14" i="13" s="1"/>
  <c r="C23" i="10"/>
  <c r="C24" i="10" s="1"/>
  <c r="H13" i="14"/>
  <c r="D13" i="14" s="1"/>
  <c r="D16" i="14" s="1"/>
  <c r="D20" i="14" s="1"/>
  <c r="C21" i="16" l="1"/>
  <c r="C8" i="16" s="1"/>
  <c r="D21" i="16"/>
  <c r="D8" i="16" s="1"/>
  <c r="C25" i="10"/>
  <c r="E8" i="16" l="1"/>
  <c r="F8" i="16" s="1"/>
  <c r="L21" i="16" s="1"/>
  <c r="L22" i="16" s="1"/>
  <c r="I21" i="16"/>
  <c r="I22" i="16" s="1"/>
  <c r="N21" i="16"/>
  <c r="N22" i="16" s="1"/>
  <c r="E21" i="16"/>
  <c r="E22" i="16" s="1"/>
  <c r="F21" i="16"/>
  <c r="F22" i="16" s="1"/>
  <c r="J21" i="16"/>
  <c r="J22" i="16" s="1"/>
  <c r="C26" i="10"/>
  <c r="C31" i="10" s="1"/>
  <c r="C27" i="10"/>
  <c r="E23" i="10"/>
  <c r="D23" i="10"/>
  <c r="H7" i="14"/>
  <c r="E13" i="14" s="1"/>
  <c r="E16" i="14" s="1"/>
  <c r="E20" i="14" s="1"/>
  <c r="D27" i="10"/>
  <c r="H6" i="14"/>
  <c r="E27" i="10"/>
  <c r="C30" i="10"/>
  <c r="H21" i="16" l="1"/>
  <c r="H22" i="16" s="1"/>
  <c r="K21" i="16"/>
  <c r="K22" i="16" s="1"/>
  <c r="G21" i="16"/>
  <c r="G22" i="16" s="1"/>
  <c r="M21" i="16"/>
  <c r="M22" i="16" s="1"/>
  <c r="D26" i="10"/>
  <c r="D24" i="10"/>
  <c r="D25" i="10"/>
  <c r="I6" i="14"/>
  <c r="F6" i="14"/>
  <c r="E24" i="10"/>
  <c r="E25" i="10"/>
  <c r="F7" i="14"/>
  <c r="C13" i="14" s="1"/>
  <c r="C16" i="14" s="1"/>
  <c r="C20" i="14" s="1"/>
  <c r="I7" i="14"/>
  <c r="E26" i="10"/>
  <c r="C32" i="10"/>
  <c r="C34" i="10"/>
  <c r="H10" i="13"/>
  <c r="G10" i="13"/>
  <c r="H12" i="13"/>
  <c r="G12" i="13"/>
  <c r="F12" i="13"/>
  <c r="E50" i="13"/>
  <c r="H13" i="13" s="1"/>
  <c r="D50" i="13"/>
  <c r="D52" i="13"/>
  <c r="E52" i="13"/>
  <c r="H23" i="13" s="1"/>
  <c r="D43" i="13"/>
  <c r="E43" i="13"/>
  <c r="G23" i="13" s="1"/>
  <c r="D34" i="13"/>
  <c r="E34" i="13"/>
  <c r="F23" i="13" s="1"/>
  <c r="E41" i="13"/>
  <c r="G13" i="13" s="1"/>
  <c r="D41" i="13"/>
  <c r="F51" i="13"/>
  <c r="F49" i="13"/>
  <c r="F48" i="13"/>
  <c r="F47" i="13"/>
  <c r="F46" i="13"/>
  <c r="H47" i="13" s="1"/>
  <c r="H9" i="13" s="1"/>
  <c r="F42" i="13"/>
  <c r="F40" i="13"/>
  <c r="F39" i="13"/>
  <c r="F38" i="13"/>
  <c r="F37" i="13"/>
  <c r="H38" i="13" s="1"/>
  <c r="G9" i="13" s="1"/>
  <c r="H50" i="13"/>
  <c r="H21" i="13" s="1"/>
  <c r="H49" i="13"/>
  <c r="H20" i="13" s="1"/>
  <c r="H48" i="13"/>
  <c r="H19" i="13" s="1"/>
  <c r="H46" i="13"/>
  <c r="H41" i="13"/>
  <c r="G21" i="13" s="1"/>
  <c r="H40" i="13"/>
  <c r="G20" i="13" s="1"/>
  <c r="H39" i="13"/>
  <c r="G19" i="13" s="1"/>
  <c r="H37" i="13"/>
  <c r="H32" i="13"/>
  <c r="F21" i="13" s="1"/>
  <c r="H31" i="13"/>
  <c r="F20" i="13" s="1"/>
  <c r="H30" i="13"/>
  <c r="F19" i="13" s="1"/>
  <c r="H28" i="13"/>
  <c r="F28" i="13"/>
  <c r="F9" i="13" s="1"/>
  <c r="F30" i="13"/>
  <c r="F31" i="13"/>
  <c r="F33" i="13"/>
  <c r="E32" i="13"/>
  <c r="F13" i="13" s="1"/>
  <c r="D32" i="13"/>
  <c r="E5" i="7"/>
  <c r="E23" i="13" s="1"/>
  <c r="D5" i="7"/>
  <c r="F8" i="13"/>
  <c r="E45" i="7"/>
  <c r="D22" i="6"/>
  <c r="F10" i="13"/>
  <c r="E12" i="13"/>
  <c r="F29" i="13"/>
  <c r="H8" i="13"/>
  <c r="G8" i="13"/>
  <c r="E8" i="13"/>
  <c r="E35" i="7"/>
  <c r="H12" i="14" s="1"/>
  <c r="D12" i="14" s="1"/>
  <c r="D15" i="14" s="1"/>
  <c r="D19" i="14" s="1"/>
  <c r="D35" i="7"/>
  <c r="E10" i="13"/>
  <c r="C12" i="14" l="1"/>
  <c r="C15" i="14" s="1"/>
  <c r="C19" i="14" s="1"/>
  <c r="E12" i="14"/>
  <c r="E15" i="14" s="1"/>
  <c r="E19" i="14" s="1"/>
  <c r="P22" i="7"/>
  <c r="C23" i="15"/>
  <c r="C23" i="25"/>
  <c r="G45" i="7"/>
  <c r="E30" i="10"/>
  <c r="E31" i="10"/>
  <c r="D30" i="10"/>
  <c r="G40" i="10"/>
  <c r="G25" i="10"/>
  <c r="D31" i="10"/>
  <c r="G39" i="10"/>
  <c r="G24" i="10"/>
  <c r="C33" i="10"/>
  <c r="I12" i="13"/>
  <c r="G17" i="13"/>
  <c r="G15" i="13"/>
  <c r="I10" i="13"/>
  <c r="F17" i="13"/>
  <c r="F15" i="13"/>
  <c r="H17" i="13"/>
  <c r="H15" i="13"/>
  <c r="E15" i="13"/>
  <c r="I15" i="13" s="1"/>
  <c r="I8" i="13"/>
  <c r="I23" i="13"/>
  <c r="F32" i="13"/>
  <c r="F50" i="13"/>
  <c r="F52" i="13"/>
  <c r="F43" i="13"/>
  <c r="F34" i="13"/>
  <c r="H29" i="13"/>
  <c r="F41" i="13"/>
  <c r="F52" i="7"/>
  <c r="E52" i="7"/>
  <c r="K4" i="7"/>
  <c r="E9" i="13" s="1"/>
  <c r="I9" i="13" s="1"/>
  <c r="E16" i="7"/>
  <c r="D16" i="7"/>
  <c r="F50" i="7"/>
  <c r="F51" i="7"/>
  <c r="E51" i="7"/>
  <c r="E50" i="7"/>
  <c r="E41" i="7"/>
  <c r="D41" i="7"/>
  <c r="E46" i="7"/>
  <c r="Q22" i="7" s="1"/>
  <c r="D46" i="7"/>
  <c r="E34" i="7"/>
  <c r="D34" i="7"/>
  <c r="D36" i="7" s="1"/>
  <c r="E23" i="7"/>
  <c r="D39" i="25" s="1"/>
  <c r="D46" i="25" s="1"/>
  <c r="D23" i="7"/>
  <c r="E12" i="7"/>
  <c r="E21" i="13" s="1"/>
  <c r="I21" i="13" s="1"/>
  <c r="D12" i="7"/>
  <c r="E11" i="7"/>
  <c r="D11" i="7"/>
  <c r="E10" i="7"/>
  <c r="D10" i="7"/>
  <c r="D24" i="7"/>
  <c r="I2" i="7"/>
  <c r="J2" i="7"/>
  <c r="C18" i="7" s="1"/>
  <c r="C40" i="10" s="1"/>
  <c r="D15" i="6"/>
  <c r="D11" i="6"/>
  <c r="C11" i="6"/>
  <c r="I36" i="5"/>
  <c r="H36" i="5"/>
  <c r="H32" i="5"/>
  <c r="I32" i="5"/>
  <c r="I28" i="5"/>
  <c r="I37" i="5" s="1"/>
  <c r="H28" i="5"/>
  <c r="H37" i="5" s="1"/>
  <c r="I17" i="5"/>
  <c r="H17" i="5"/>
  <c r="C33" i="15" l="1"/>
  <c r="C42" i="15" s="1"/>
  <c r="C51" i="15" s="1"/>
  <c r="C35" i="15"/>
  <c r="C34" i="16"/>
  <c r="G41" i="7"/>
  <c r="C42" i="10"/>
  <c r="C44" i="10" s="1"/>
  <c r="G46" i="7"/>
  <c r="E36" i="7"/>
  <c r="C24" i="16"/>
  <c r="D24" i="16"/>
  <c r="D23" i="16" s="1"/>
  <c r="E20" i="13"/>
  <c r="I20" i="13" s="1"/>
  <c r="D32" i="10"/>
  <c r="D34" i="10"/>
  <c r="E32" i="10"/>
  <c r="E33" i="10" s="1"/>
  <c r="E34" i="10"/>
  <c r="E19" i="13"/>
  <c r="I19" i="13" s="1"/>
  <c r="E13" i="13"/>
  <c r="I13" i="13" s="1"/>
  <c r="D33" i="15"/>
  <c r="C41" i="10"/>
  <c r="E33" i="7"/>
  <c r="D19" i="7"/>
  <c r="E19" i="7"/>
  <c r="F46" i="7"/>
  <c r="D33" i="7"/>
  <c r="F45" i="7"/>
  <c r="F41" i="7"/>
  <c r="E7" i="7"/>
  <c r="E24" i="7"/>
  <c r="H33" i="5"/>
  <c r="I33" i="5"/>
  <c r="D47" i="7"/>
  <c r="E47" i="7"/>
  <c r="E40" i="7"/>
  <c r="D40" i="7"/>
  <c r="C23" i="16" l="1"/>
  <c r="C9" i="16" s="1"/>
  <c r="C43" i="10"/>
  <c r="H45" i="7"/>
  <c r="D35" i="15"/>
  <c r="E39" i="25"/>
  <c r="E46" i="25" s="1"/>
  <c r="C39" i="25"/>
  <c r="C46" i="25" s="1"/>
  <c r="C40" i="25"/>
  <c r="C47" i="25"/>
  <c r="C44" i="15"/>
  <c r="C53" i="15"/>
  <c r="H46" i="7"/>
  <c r="H47" i="7" s="1"/>
  <c r="D42" i="7"/>
  <c r="E20" i="7" s="1"/>
  <c r="C54" i="10" s="1"/>
  <c r="G40" i="7"/>
  <c r="G47" i="7"/>
  <c r="I45" i="7"/>
  <c r="I46" i="7"/>
  <c r="C25" i="16"/>
  <c r="D27" i="16"/>
  <c r="D9" i="16"/>
  <c r="D25" i="16"/>
  <c r="D33" i="10"/>
  <c r="G42" i="10"/>
  <c r="G43" i="10" s="1"/>
  <c r="G44" i="10" s="1"/>
  <c r="G32" i="10"/>
  <c r="C45" i="10" s="1"/>
  <c r="D42" i="15"/>
  <c r="D51" i="15" s="1"/>
  <c r="E33" i="15"/>
  <c r="E42" i="15" s="1"/>
  <c r="E51" i="15" s="1"/>
  <c r="F47" i="7"/>
  <c r="E42" i="7"/>
  <c r="F40" i="7"/>
  <c r="D19" i="6"/>
  <c r="C19" i="6"/>
  <c r="C15" i="6"/>
  <c r="I12" i="5"/>
  <c r="H12" i="5"/>
  <c r="E9" i="16" l="1"/>
  <c r="F9" i="16" s="1"/>
  <c r="E47" i="25"/>
  <c r="E40" i="25"/>
  <c r="D44" i="15"/>
  <c r="D53" i="15"/>
  <c r="E17" i="7"/>
  <c r="C53" i="10" s="1"/>
  <c r="D25" i="7"/>
  <c r="D40" i="25"/>
  <c r="D47" i="25"/>
  <c r="E35" i="15"/>
  <c r="C3" i="16"/>
  <c r="H41" i="7"/>
  <c r="R22" i="7"/>
  <c r="S22" i="7" s="1"/>
  <c r="H40" i="7"/>
  <c r="I47" i="7"/>
  <c r="E16" i="13"/>
  <c r="G42" i="7"/>
  <c r="I41" i="7"/>
  <c r="I40" i="7"/>
  <c r="I23" i="16"/>
  <c r="I24" i="16" s="1"/>
  <c r="E23" i="16"/>
  <c r="E24" i="16" s="1"/>
  <c r="G23" i="16"/>
  <c r="G24" i="16" s="1"/>
  <c r="H23" i="16"/>
  <c r="H24" i="16" s="1"/>
  <c r="M23" i="16"/>
  <c r="M24" i="16" s="1"/>
  <c r="L23" i="16"/>
  <c r="L24" i="16" s="1"/>
  <c r="F23" i="16"/>
  <c r="F24" i="16" s="1"/>
  <c r="N23" i="16"/>
  <c r="N24" i="16" s="1"/>
  <c r="K23" i="16"/>
  <c r="K24" i="16" s="1"/>
  <c r="J23" i="16"/>
  <c r="J24" i="16" s="1"/>
  <c r="D26" i="16"/>
  <c r="I16" i="13"/>
  <c r="E17" i="13"/>
  <c r="I17" i="13" s="1"/>
  <c r="C46" i="10"/>
  <c r="C48" i="10"/>
  <c r="C50" i="10" s="1"/>
  <c r="C47" i="10"/>
  <c r="C49" i="10" s="1"/>
  <c r="E25" i="7"/>
  <c r="F42" i="7"/>
  <c r="K5" i="7"/>
  <c r="H18" i="5"/>
  <c r="M7" i="5" s="1"/>
  <c r="I18" i="5"/>
  <c r="I42" i="7" l="1"/>
  <c r="E44" i="15"/>
  <c r="E53" i="15"/>
  <c r="H42" i="7"/>
  <c r="F25" i="16"/>
  <c r="F27" i="16"/>
  <c r="J27" i="16"/>
  <c r="J25" i="16"/>
  <c r="L25" i="16"/>
  <c r="L27" i="16"/>
  <c r="K27" i="16"/>
  <c r="K25" i="16"/>
  <c r="N27" i="16"/>
  <c r="N25" i="16"/>
  <c r="M25" i="16"/>
  <c r="M27" i="16"/>
  <c r="H27" i="16"/>
  <c r="H25" i="16"/>
  <c r="G25" i="16"/>
  <c r="G27" i="16"/>
  <c r="E25" i="16"/>
  <c r="E26" i="16" s="1"/>
  <c r="E29" i="16" s="1"/>
  <c r="E30" i="16" s="1"/>
  <c r="E27" i="16"/>
  <c r="I27" i="16"/>
  <c r="I25" i="16"/>
  <c r="C52" i="10"/>
  <c r="C51" i="10"/>
  <c r="K11" i="7"/>
  <c r="K10" i="7"/>
  <c r="C16" i="6"/>
  <c r="D16" i="6"/>
  <c r="K9" i="7"/>
  <c r="N7" i="5"/>
  <c r="G26" i="16" l="1"/>
  <c r="I26" i="16"/>
  <c r="M26" i="16"/>
  <c r="N26" i="16"/>
  <c r="J26" i="16"/>
  <c r="F26" i="16"/>
  <c r="H26" i="16"/>
  <c r="K26" i="16"/>
  <c r="L26" i="16"/>
  <c r="K6" i="7"/>
  <c r="D20" i="6"/>
  <c r="D24" i="6" s="1"/>
  <c r="C20" i="6"/>
  <c r="C22" i="6" s="1"/>
  <c r="C24" i="6" s="1"/>
  <c r="N29" i="16" l="1"/>
  <c r="H29" i="16"/>
  <c r="H30" i="16" s="1"/>
  <c r="M29" i="16"/>
  <c r="M30" i="16" s="1"/>
  <c r="K29" i="16"/>
  <c r="K30" i="16" s="1"/>
  <c r="F29" i="16"/>
  <c r="F30" i="16" s="1"/>
  <c r="I29" i="16"/>
  <c r="I30" i="16" s="1"/>
  <c r="G29" i="16"/>
  <c r="G30" i="16" s="1"/>
  <c r="L29" i="16"/>
  <c r="L30" i="16" s="1"/>
  <c r="J29" i="16"/>
  <c r="J30" i="16" s="1"/>
  <c r="K7" i="7"/>
  <c r="C31" i="16" l="1"/>
  <c r="C32" i="16" s="1"/>
  <c r="N30" i="16"/>
  <c r="K8" i="7"/>
  <c r="C33" i="16" l="1"/>
  <c r="C35" i="16" s="1"/>
  <c r="C36" i="16" s="1"/>
</calcChain>
</file>

<file path=xl/sharedStrings.xml><?xml version="1.0" encoding="utf-8"?>
<sst xmlns="http://schemas.openxmlformats.org/spreadsheetml/2006/main" count="616" uniqueCount="288">
  <si>
    <t>Gross Profit</t>
  </si>
  <si>
    <t>Operating Income</t>
  </si>
  <si>
    <t>Total assets</t>
  </si>
  <si>
    <t>Assets</t>
  </si>
  <si>
    <t>Cash and cash equivalents</t>
  </si>
  <si>
    <t>Accounts receivable</t>
  </si>
  <si>
    <t>Prepaid expenses</t>
  </si>
  <si>
    <t>Other current assets</t>
  </si>
  <si>
    <t>Total current assets</t>
  </si>
  <si>
    <t>Total non-current assets</t>
  </si>
  <si>
    <t>Liabilities and Partners' Equity</t>
  </si>
  <si>
    <t>Accounts payable</t>
  </si>
  <si>
    <t>Accrued expenses</t>
  </si>
  <si>
    <t>Total current liabilities</t>
  </si>
  <si>
    <t>December 31,</t>
  </si>
  <si>
    <t>Total liabilities and partners' equity</t>
  </si>
  <si>
    <t>Total non-current liabilities</t>
  </si>
  <si>
    <t>For the Years Ended December 31,</t>
  </si>
  <si>
    <t>COGS</t>
  </si>
  <si>
    <t>General and admnistrative expenses</t>
  </si>
  <si>
    <t>Operating income (EBIT)</t>
  </si>
  <si>
    <t>Total other income</t>
  </si>
  <si>
    <t>Ratios</t>
  </si>
  <si>
    <t>Liquidity</t>
  </si>
  <si>
    <t>Current Ratio</t>
  </si>
  <si>
    <t>Profitability</t>
  </si>
  <si>
    <t>Gross Margin</t>
  </si>
  <si>
    <t>Operating Margin</t>
  </si>
  <si>
    <t>Net Margin</t>
  </si>
  <si>
    <t>ROE</t>
  </si>
  <si>
    <t>Working Capital Management</t>
  </si>
  <si>
    <t>DSO</t>
  </si>
  <si>
    <t>DPO</t>
  </si>
  <si>
    <t>DCOH</t>
  </si>
  <si>
    <t xml:space="preserve">Summarized Balance </t>
  </si>
  <si>
    <t>P, P &amp; E</t>
  </si>
  <si>
    <t>OWK</t>
  </si>
  <si>
    <t>Fixed Assests</t>
  </si>
  <si>
    <t>Invested Capital</t>
  </si>
  <si>
    <t>Deb/Equity</t>
  </si>
  <si>
    <t>Capital Structure</t>
  </si>
  <si>
    <t>Operational Efficiency</t>
  </si>
  <si>
    <t>Leverage</t>
  </si>
  <si>
    <t>Growth Metrics (g)</t>
  </si>
  <si>
    <t>Total operating expenses</t>
  </si>
  <si>
    <t>Tau</t>
  </si>
  <si>
    <t>SGA</t>
  </si>
  <si>
    <t>MVE</t>
  </si>
  <si>
    <t>Price per share</t>
  </si>
  <si>
    <t>Looking to raise up to</t>
  </si>
  <si>
    <t>Empresa</t>
  </si>
  <si>
    <t>Ticker</t>
  </si>
  <si>
    <t>Comentario</t>
  </si>
  <si>
    <t>Descripción (Yahoo Finance para las comparables, S-1 Filing para CDNL)</t>
  </si>
  <si>
    <t>Cardinal Infrastructure Group Inc.</t>
  </si>
  <si>
    <t>CDNL</t>
  </si>
  <si>
    <t>We provide a comprehensive suite of infrastructure services to the residential, commercial, industrial, municipal, and state infrastructure markets. Our operations leverage a large highly skilled workforce and a fleet of specialized equipment to deliver wet utility installations (water, sewer, and stormwater systems), as well as grading, site clearing, erosion control, drilling and blasting, paving, and other related site services. We are becoming the platform of choice for a diverse array of infrastructure construction projects in our target geographies that require high-level technical expertise and sophistication. We seek to safely execute site work solutions within both the individual project’s schedule and budget, while strengthening our relationships with our growing list of customers. We believe we are one of the fastest-growing, full-service turnkey infrastructure services companies in the Southeastern United States. We deliver our suite of comprehensive infrastructure services that support the planning, preparation, installation, and development of residential, commercial, industrial, municipal, and state infrastructure projects primarily through in-house teams and equipment, significantly reducing the need for outsourcing or subcontractors which enables industry-leading project execution. Led by an experienced, long-tenured management team and supported by talented project managers, we are driven by a culture of safety and employee development. Our high-level expertise, technical sophistication, and expedited delivery of services result in strong margins. We believe we are well positioned to continue growing our revenue and profitability in a very fragmented and highly attractive industry.</t>
  </si>
  <si>
    <t>Es una empresa estadounidense que construye infraestructura principalmente en el sureste del país, con operaciones en Charlotte, Raleigh y Greensboro, Carolina del Norte. Ofrece servicios completos o “turnkey” para proyectos residenciales, comerciales e industriales, como instalación de sistemas de agua, alcantarillado y drenaje, además de preparación de terrenos: nivelación, limpieza, control de erosión, perforación, voladuras y pavimentación.</t>
  </si>
  <si>
    <t>Sterling Infrastructure, Inc.</t>
  </si>
  <si>
    <t>STRL</t>
  </si>
  <si>
    <t>Sterling Infrastructure, Inc. engages in the provision of e-infrastructure, transportation, and building solutions in the United States. It operates through three segments: E-Infrastructure Solutions, Transportation Solutions, and Building Solutions. The E-Infrastructure Solutions segment provides site development services for the blue-chip end users in the e-commerce distribution center, data center, manufacturing, warehousing, and power generation sectors. The Transportation Solutions segment is involved in the development of infrastructure and rehabilitation projects for highways, roads, bridges, airports, ports, rail, and storm drainage systems for the departments of transportation, regional transit, airport, port, water, and railroads authorities. The Building Solutions segment provides residential and commercial concrete foundations for single-family and multi-family homes, parking structures, elevated slabs, other concrete work for developers and general contractors, as well as provides plumbing and surveys services for residential builds. The company was formerly known as Sterling Construction Company, Inc. and changed its name to Sterling Infrastructure, Inc. in June 2022. Sterling Infrastructure, Inc. was founded in 1955 and is headquartered in The Woodlands, Texas.</t>
  </si>
  <si>
    <t>Es un proveedor de servicios de infraestructura que opera en 3 segmentos, de los 3, Transportación y Construcción, son los que se asemejan al modelo de preparación de terrenos de Cardinal.</t>
  </si>
  <si>
    <t xml:space="preserve">Primoris Services Corporation </t>
  </si>
  <si>
    <t>PRIM</t>
  </si>
  <si>
    <t>Primoris Services Corporation provides infrastructure services primarily in the United States and Canada. The company operates in two segments, Utilities and Energy. The Utilities segment offers installation and maintenance of new and existing natural gas and electric utility distribution and transmission systems, and communications systems. The Energy segment provides engineering, procurement, construction, and maintenance services for entities in the energy, renewable energy and energy storage, renewable fuels, and petroleum and petrochemical industries, as well as state departments of transportation. The company also offers replacement and fabrication services. Primoris Services Corporation was founded in 1960 and is headquartered in Dallas, Texas.</t>
  </si>
  <si>
    <t>Construction Partners, Inc.</t>
  </si>
  <si>
    <t>ROAD</t>
  </si>
  <si>
    <t>Construction Partners, Inc., a civil infrastructure company, constructs and maintains roadways in Alabama, Florida, Georgia, North Carolina, Oklahoma, South Carolina, Tennessee, and Texas. The company provides various products and services to public and private infrastructure projects, such as highways, roads, bridges, airports, and commercial and residential developments. It also engages in manufacturing and distributing hot mix asphalt (HMA) for internal use and sales to third parties in connection with construction projects; and paving activities, including the construction of roadway base layers and application of asphalt pavement. In addition, the company is involved in site development, including the installation of utility and drainage systems; mining aggregates, such as sand, gravel, and construction stones that are used as raw materials in the production of HMA; and distributing liquid asphalt cement for internal use and sales to third parties in connection with HMA production. The company was formerly known as SunTx CPI Growth Company, Inc. and changed its name to Construction Partners, Inc. in September 2017. Construction Partners, Inc. was incorporated in 2007 and is headquartered in Dothan, Alabama.</t>
  </si>
  <si>
    <t xml:space="preserve">Quanta Services, Inc. </t>
  </si>
  <si>
    <t>PWR</t>
  </si>
  <si>
    <t>Quanta Services, Inc. offers infrastructure solutions for the electric and gas utility, renewable energy, communications, pipeline, and energy industries in the United States, Canada, Australia, and internationally. The company's Electric Power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restoration; and other engineering and technical services; design and construction solutions to wireline and wireless communications, cable multi-system operators, and other customers; and training for electric workers, as well as training for the gas distribution and communications industries. Its Renewable Energy Infrastructure Solutions segment is involved in engineering, procurement, construction, repair, and maintenance of wind, solar, and hydropower generation facilities, as well as battery storage facilities; and engineering and construction services for substations and switchyards, transmission, and other electrical infrastructures. The company's Underground Utility and Infrastructure Solutions segment offers design, engineering, procurement, construction, upgrade, repair, and maintenance services for natural gas systems for gas utility customers; fabrication services for pipeline support systems and structures and facilities; and engineering and construction services for pipeline and storage systems, and compressor and pump stations. The company was formerly known as Fabal Construction, Inc. and changed its name to Quanta Services, Inc. in November 1997. The company was incorporated in 1997 and is headquartered in Houston, Texas.</t>
  </si>
  <si>
    <t>Aunque opera en construcción de infraestructura, su foco está mucho más concentrado en redes eléctricas y energéticas a gran escala.</t>
  </si>
  <si>
    <t>MasTec, Inc.</t>
  </si>
  <si>
    <t>MTZ</t>
  </si>
  <si>
    <t>MasTec, Inc., an infrastructure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service restoration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industrial infrastructure providers, as well as government entities. MasTec, Inc. was founded in 1929 and is headquartered in Coral Gables, Florida.</t>
  </si>
  <si>
    <t>EMCOR Group, Inc</t>
  </si>
  <si>
    <t>EME</t>
  </si>
  <si>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</si>
  <si>
    <t>Pese que participa en proyectos de infraestructura, su modelo de negocio está más orientado a servicios técnicos, mantenimiento de instalaciones y proyectos industriales.</t>
  </si>
  <si>
    <t>Si bien forma parte del mercado más amplio de construcción de infraestructura, su exposición a proyectos es de energía, petróleo y gas.</t>
  </si>
  <si>
    <t>Granite Construction Incorporated operates as an infrastructure contractor in the United States. It operates through two segments: Construction and Materials segments. The Construction segment engages in the construction and rehabilitation of roads, pavement preservation, bridges, rail lines, airports, marine ports, dams, reservoirs, aqueducts, infrastructure, and site development for use by the public and water-related construction for municipal agencies, commercial water suppliers, industrial facilities, and energy companies; and construction of various complex projects, including infrastructure and site development, mining, public safety, tunnel, solar, battery storage, and power related projects. The Materials segment is involved in the production of aggregates, asphalt concrete, liquid asphalt, and recycled materials production for internal use in construction projects and sale to third parties. It also offers site preparation, mining, and infrastructure services for railways, residential development, energy development, and commercial and industrial sites; and provides construction management professional services. The company serves federal agencies, state departments of transportation, local transit authorities, county and city public works departments, school districts and developers, utilities, contractors, landscapers, manufacturers of products requiring aggregate materials, retailers, homeowners, farmers, brokers, and private owners of industrial, commercial, and residential sites. Granite Construction Incorporated was incorporated in 1922 and is headquartered in Watsonville, California.</t>
  </si>
  <si>
    <t>GVA</t>
  </si>
  <si>
    <t>Granite Construction Incorporated</t>
  </si>
  <si>
    <t>La similitud con Cardinal es el segmento de Construcción bajo el cual operan, que abarca rehabilitación de caminos, preservación del pavimento, puentes, entre otros, sin embargo, considerar que es una compañía de gran tamaño.</t>
  </si>
  <si>
    <t>Property and Equipment, net</t>
  </si>
  <si>
    <t>Operating lease right-of-use assets</t>
  </si>
  <si>
    <t>Investments in unconsolidated affiliates</t>
  </si>
  <si>
    <t>Goodwill</t>
  </si>
  <si>
    <t>Accrued distributions</t>
  </si>
  <si>
    <t>Contract liabilities</t>
  </si>
  <si>
    <t>Current portion of notes payable</t>
  </si>
  <si>
    <t>Current portion of finance lease liabilities</t>
  </si>
  <si>
    <t>Current portion of operating lease liabilities</t>
  </si>
  <si>
    <t>Finance lease liabilities, less current portion</t>
  </si>
  <si>
    <t>Operating lease liabilities, less current portion</t>
  </si>
  <si>
    <t>Total liabilities</t>
  </si>
  <si>
    <t>Retained earnings</t>
  </si>
  <si>
    <t>Noncontrolling interests</t>
  </si>
  <si>
    <t>Total members’ equity</t>
  </si>
  <si>
    <t>Revenues</t>
  </si>
  <si>
    <t>Depreciation expense</t>
  </si>
  <si>
    <t>Loss (gain) on disposal of property and equipment</t>
  </si>
  <si>
    <t>Interest expense, net</t>
  </si>
  <si>
    <t>Other expense, net</t>
  </si>
  <si>
    <t>EBT</t>
  </si>
  <si>
    <t>Income tax expense</t>
  </si>
  <si>
    <t>Net income, including noncontrolling interests</t>
  </si>
  <si>
    <t>Less: Net income attributable to noncontrolling interests</t>
  </si>
  <si>
    <t>Net income attributable to Cardinal Civil Contracting, LLC</t>
  </si>
  <si>
    <t>CARDINAL CIVIL CONTRACTING, LLC</t>
  </si>
  <si>
    <t>Years Ended December 31, 2024 and December 31, 2023</t>
  </si>
  <si>
    <t>CONSOLIDATED STATEMENTS OF OPERATIONS</t>
  </si>
  <si>
    <t>As of December 31, 2024 and December 31, 2023</t>
  </si>
  <si>
    <t>CONSOLIDATED BALANCE SHEETS</t>
  </si>
  <si>
    <t>Cambio en OWK</t>
  </si>
  <si>
    <t>SGA/Revenues</t>
  </si>
  <si>
    <t>OWK/Revenues</t>
  </si>
  <si>
    <t>IC/Revenues</t>
  </si>
  <si>
    <t>Equity (BVE)</t>
  </si>
  <si>
    <t>Interest Debt (BVD) - Deuda con costo</t>
  </si>
  <si>
    <t>ROA</t>
  </si>
  <si>
    <t>Notes payable, less current portion, net of unamortized debt issuance costs</t>
  </si>
  <si>
    <t>BVD/BVE - D/E</t>
  </si>
  <si>
    <t>Cambios</t>
  </si>
  <si>
    <t>Tau normalizado</t>
  </si>
  <si>
    <t>Su segmento Utilities es más líneas de gas, eléctricas y comunicaciones a gran escala en todo Estados Unidos y Canadá, no tanto wet utilities residenciales.</t>
  </si>
  <si>
    <t>Muy enfocada en pavimentación, carreteras y desarrollo de sitios en el sur/sureste de Estados Unidos.</t>
  </si>
  <si>
    <t>g</t>
  </si>
  <si>
    <t>g (crecimiento)</t>
  </si>
  <si>
    <t>Utilidad neta</t>
  </si>
  <si>
    <t>Margen Bruto</t>
  </si>
  <si>
    <t>Margen Operativo</t>
  </si>
  <si>
    <t>Margen Neto</t>
  </si>
  <si>
    <t>Tamaño y crecimiento</t>
  </si>
  <si>
    <t>Rentabilidad</t>
  </si>
  <si>
    <t>CNDL</t>
  </si>
  <si>
    <t>Cardinal Infraestructure Group Inc</t>
  </si>
  <si>
    <t>Datos usados del 2024</t>
  </si>
  <si>
    <t>Net debt</t>
  </si>
  <si>
    <t>Net debt / EBITDA</t>
  </si>
  <si>
    <t>EBITDA</t>
  </si>
  <si>
    <t>Contract assets</t>
  </si>
  <si>
    <t>Liquidez</t>
  </si>
  <si>
    <t>Datos: Yahoo Finance &amp; Morningstar</t>
  </si>
  <si>
    <t>FY 2023 - fiscal closing: september 30</t>
  </si>
  <si>
    <t>FY 2024 - fiscal closing: september 30</t>
  </si>
  <si>
    <t>Datos: Morningstar &amp; Yahoo Finance</t>
  </si>
  <si>
    <t>EV/EBIT</t>
  </si>
  <si>
    <t>EV/EBITDA</t>
  </si>
  <si>
    <t>EV</t>
  </si>
  <si>
    <t>EV/Revenues</t>
  </si>
  <si>
    <t>BVE</t>
  </si>
  <si>
    <t>Precio de acción (Previous close - 12/04/2025)</t>
  </si>
  <si>
    <t>Shares Outstanding</t>
  </si>
  <si>
    <t>Múltiplos para valoración</t>
  </si>
  <si>
    <t>EBIT</t>
  </si>
  <si>
    <t>Max/min</t>
  </si>
  <si>
    <t>Promedio</t>
  </si>
  <si>
    <t>Mínimo múltiplo</t>
  </si>
  <si>
    <t>Máximo múltiplo</t>
  </si>
  <si>
    <t>EV con múltiplo mínimo</t>
  </si>
  <si>
    <t>EV con múltiplo máximo</t>
  </si>
  <si>
    <t>Currency</t>
  </si>
  <si>
    <t>Market</t>
  </si>
  <si>
    <t>D/EV</t>
  </si>
  <si>
    <t>rd-rf</t>
  </si>
  <si>
    <t>MRP</t>
  </si>
  <si>
    <t>WACC (Current D/EV)</t>
  </si>
  <si>
    <t>USD</t>
  </si>
  <si>
    <t>XNYS</t>
  </si>
  <si>
    <t>XNAS</t>
  </si>
  <si>
    <t>D(1-tau)/EV</t>
  </si>
  <si>
    <t>rf</t>
  </si>
  <si>
    <t>Pretax Income</t>
  </si>
  <si>
    <t>Tax Provision</t>
  </si>
  <si>
    <t>Bd</t>
  </si>
  <si>
    <t>Be (5Y Monthly Yahoo Finance)</t>
  </si>
  <si>
    <t>rd</t>
  </si>
  <si>
    <t>ra desapalancado</t>
  </si>
  <si>
    <t>E/EV</t>
  </si>
  <si>
    <t>D/V</t>
  </si>
  <si>
    <t>E/V</t>
  </si>
  <si>
    <t>V=D+E</t>
  </si>
  <si>
    <t>Ba promedio</t>
  </si>
  <si>
    <t>1-Tau</t>
  </si>
  <si>
    <t>ROIC con un Tau del 25%</t>
  </si>
  <si>
    <t>ROIC con un Tau del 4.56%</t>
  </si>
  <si>
    <t>ROIC (Tau 25%)</t>
  </si>
  <si>
    <t>ROIC (Tau 4.56%)</t>
  </si>
  <si>
    <t>Tau 2024</t>
  </si>
  <si>
    <t>Be apalancada</t>
  </si>
  <si>
    <t>re</t>
  </si>
  <si>
    <t>Ba desapalacanda</t>
  </si>
  <si>
    <t>V = D (BVD) + E (Total members'e Equity)</t>
  </si>
  <si>
    <t>D/E</t>
  </si>
  <si>
    <t>D/V promedio</t>
  </si>
  <si>
    <t>E/V promedio</t>
  </si>
  <si>
    <t>Ba desapalancada</t>
  </si>
  <si>
    <t>ra desapalancada</t>
  </si>
  <si>
    <t>WACC histórico sector</t>
  </si>
  <si>
    <t xml:space="preserve">Cardinal Infraestructure Group Inc (con D/EV calculado) </t>
  </si>
  <si>
    <t>WACC histórico (Tau = 25%)</t>
  </si>
  <si>
    <t>WACC histórico (Tau = 4.56%)</t>
  </si>
  <si>
    <t>Datos: Morningstar, FRED, Aswath Damodaran &amp; Yahoo Finance</t>
  </si>
  <si>
    <t>Be reapalancada (4.56%)</t>
  </si>
  <si>
    <t>re (4.56%)</t>
  </si>
  <si>
    <t>D/Revenues</t>
  </si>
  <si>
    <t>PPE/Revenues</t>
  </si>
  <si>
    <t>COGS/Revenues</t>
  </si>
  <si>
    <t>Depreciation/Revenues</t>
  </si>
  <si>
    <t>Eficiencia operativa</t>
  </si>
  <si>
    <t>IC</t>
  </si>
  <si>
    <t>Ba apalancada</t>
  </si>
  <si>
    <t>Cardinal Infraestructure Group Inc (con estructura de capital media de la industria)</t>
  </si>
  <si>
    <t>Se asume constante</t>
  </si>
  <si>
    <t>Valor Terminal</t>
  </si>
  <si>
    <t>CAPEX</t>
  </si>
  <si>
    <t>FCFF</t>
  </si>
  <si>
    <t>PPE</t>
  </si>
  <si>
    <t xml:space="preserve">NOPAT = EBIT * (1-Tau(25%)) </t>
  </si>
  <si>
    <t>Cambio en IC</t>
  </si>
  <si>
    <t>g (Revenues)</t>
  </si>
  <si>
    <t>Cardinal</t>
  </si>
  <si>
    <t>k (WACC Meta)</t>
  </si>
  <si>
    <t>FCF Descontado</t>
  </si>
  <si>
    <t>Precio por acción</t>
  </si>
  <si>
    <t>Precio por la acción EV/EBITDA</t>
  </si>
  <si>
    <t>Precio por la acción EV/EBIT</t>
  </si>
  <si>
    <t>Precio por la acción EV/Revenues</t>
  </si>
  <si>
    <t>ROAD tiene un Debt Rating B+, basados en ese rating, se utiliza un 6%.</t>
  </si>
  <si>
    <t>rf (bono de tesoro de 10 años)</t>
  </si>
  <si>
    <t>EBIT/Revenues</t>
  </si>
  <si>
    <t>Crece de igual forma que el base, pero aumenta mayormente. En el S-1, se establecen crecimientos del 11% en acueductos, lo que se espera al final de los 5 años.</t>
  </si>
  <si>
    <t>Crece de igual forma que el base, pero disminuye a un 3% en el último año, determinando el peor caso posible.</t>
  </si>
  <si>
    <t>Se asume</t>
  </si>
  <si>
    <t>NOPAT = EBIT * (1-Tau)</t>
  </si>
  <si>
    <t>VT descontado</t>
  </si>
  <si>
    <t>Deuda neta</t>
  </si>
  <si>
    <t>Se asume que baja un 2% en referencia a al promedio de la industria.</t>
  </si>
  <si>
    <t>Se asume que baja un 1% en referencia a al promedio de la industria.</t>
  </si>
  <si>
    <t>Se asume que baja un 4% en referencia a al promedio de la industria.</t>
  </si>
  <si>
    <t>Se asume constante al promedio.</t>
  </si>
  <si>
    <t>Se asume que aumenta al 10%, por el tema de expansión y adquicisiones.</t>
  </si>
  <si>
    <t>Se asume que aumenta al 7%, por el tema de expansión y adquisiciones, estableciendo una buena gestión de sus WK.</t>
  </si>
  <si>
    <t>Se asume una disminución al 15%, basado en el efecto de sinergías operativas, en caso de éxito con su modelo de adquisiciones y expansión.</t>
  </si>
  <si>
    <t>Se asume un incremento al 18%, dado a si falla su modelo de expansión, requiriendo mayor inversión en activos para sostener crecimiento.</t>
  </si>
  <si>
    <t>Net Debt</t>
  </si>
  <si>
    <t>DCF Pesimista</t>
  </si>
  <si>
    <t>DCF Optimista</t>
  </si>
  <si>
    <t>WACC meta (Tau = 25%)</t>
  </si>
  <si>
    <t>NOPAT</t>
  </si>
  <si>
    <t>Competencia</t>
  </si>
  <si>
    <t>ROIC - 2024</t>
  </si>
  <si>
    <t>BVD</t>
  </si>
  <si>
    <t>Pesos</t>
  </si>
  <si>
    <t>Datos obtenidos de Morningstar</t>
  </si>
  <si>
    <t>Datos de Morningstar y S-1</t>
  </si>
  <si>
    <t>Promedio de la competencia (STRL, GVA &amp; ROAD)</t>
  </si>
  <si>
    <t>Be reapalancada</t>
  </si>
  <si>
    <t>Tau actual</t>
  </si>
  <si>
    <t>Dato atípico</t>
  </si>
  <si>
    <t>Caso Pesimista</t>
  </si>
  <si>
    <t>Caso Base</t>
  </si>
  <si>
    <t>Caso Optimista</t>
  </si>
  <si>
    <t>EBITDA/Revenues</t>
  </si>
  <si>
    <t>DCF Base</t>
  </si>
  <si>
    <t>Se determina a un 27.13% y baja en relación a su aumento, en un 5% cada año, cercano al 6.3% de incremento de población que espera Cardinal y a su vez, similar al 5.3% del CAGR de la industria pronosticado hasta el 2035.</t>
  </si>
  <si>
    <t>Cardinal - DCF Perpetuo. Se usan porcentajes de crecimiento en relación al PIB del 3%.</t>
  </si>
  <si>
    <t>Crece hasta llegar a un 2% en el último año, determinando el peor caso posible.</t>
  </si>
  <si>
    <t>Se asume que aumenta al 6%, por el tema de expansión y adquicisiones.</t>
  </si>
  <si>
    <t>Datos: S-1 Cardinal, Reuters &amp; Nasdaq</t>
  </si>
  <si>
    <t>Se asume que baja al 4%, por el tema de expansión y adquisiciones, estableciendo una buena gestión de sus WK.</t>
  </si>
  <si>
    <t>Crece hasta llegar a un 4% en el último año, manifestando que la empresa llegaría encontrar arriba del PIB y cerca del CAGR de la industria, pronosticado hasta el 2035.</t>
  </si>
  <si>
    <t>Crece hasta llegar a un 3% en el último año, estableciendo un crecimiento por debajo del CAGR proyecto a 10 años, pero en paralelo al crecimiento de la economía.</t>
  </si>
  <si>
    <t>MVE Valoración por EBITDA = (EBITDA*Múltiplo)-BVD</t>
  </si>
  <si>
    <t>MVE Valoración por EBIT = (EBIT*Múltiplo)-BVD</t>
  </si>
  <si>
    <t>MVE Valoración por Revenues = (Revenues*Múltiplo)-BVD</t>
  </si>
  <si>
    <t>BVD - Deuda con costo = D</t>
  </si>
  <si>
    <t>Mediana</t>
  </si>
  <si>
    <t>EV con múltiplo medio</t>
  </si>
  <si>
    <t>EV Valoración por EBITDA = (EBITDA*Múltiplo)</t>
  </si>
  <si>
    <t>EV Valoración por EBIT = (EBIT*Múltiplo)</t>
  </si>
  <si>
    <t>EV Valoración por Revenues = (Revenues*Múltiplo)</t>
  </si>
  <si>
    <t># Shares outstading (Class A &amp; B) According S-1</t>
  </si>
  <si>
    <t>g terminal</t>
  </si>
  <si>
    <t>Supuestos generales</t>
  </si>
  <si>
    <t>Tasa promedio de convergencia al crecimiento de largo plazo</t>
  </si>
  <si>
    <t>Supuestos operativos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</si>
</sst>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0.000"/>
    <numFmt numFmtId="165" formatCode="_([$$-409]* #,##0.00_);_([$$-409]* \(#,##0.00\);_([$$-409]* &quot;-&quot;??_);_(@_)"/>
    <numFmt numFmtId="166" formatCode="_(* #,##0.000_);_(* \(#,##0.000\);_(* &quot;-&quot;??_);_(@_)"/>
    <numFmt numFmtId="167" formatCode="0.0000000000000000%"/>
    <numFmt numFmtId="168" formatCode="_(* #,##0.0000_);_(* \(#,##0.0000\);_(* &quot;-&quot;??_);_(@_)"/>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i/>
      <sz val="11"/>
      <color theme="1"/>
      <name val="Aptos Narrow"/>
      <family val="2"/>
      <scheme val="minor"/>
    </font>
    <font>
      <i/>
      <sz val="11"/>
      <color theme="1"/>
      <name val="Aptos Narrow"/>
      <family val="2"/>
      <scheme val="minor"/>
    </font>
    <font>
      <u/>
      <sz val="11"/>
      <color theme="10"/>
      <name val="Aptos Narrow"/>
      <family val="2"/>
      <scheme val="minor"/>
    </font>
    <font>
      <b/>
      <sz val="12"/>
      <color theme="1"/>
      <name val="Aptos Narrow"/>
      <family val="2"/>
      <scheme val="minor"/>
    </font>
    <font>
      <sz val="12"/>
      <name val="Aptos Narrow"/>
      <family val="2"/>
      <scheme val="minor"/>
    </font>
    <font>
      <sz val="11"/>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rgb="FF6699FF"/>
        <bgColor indexed="64"/>
      </patternFill>
    </fill>
    <fill>
      <patternFill patternType="solid">
        <fgColor rgb="FFFF5050"/>
        <bgColor indexed="64"/>
      </patternFill>
    </fill>
    <fill>
      <patternFill patternType="solid">
        <fgColor theme="0" tint="-0.34998626667073579"/>
        <bgColor indexed="64"/>
      </patternFill>
    </fill>
  </fills>
  <borders count="10">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102">
    <xf numFmtId="0" fontId="0" fillId="0" borderId="0" xfId="0"/>
    <xf numFmtId="0" fontId="0" fillId="2" borderId="0" xfId="0" applyFill="1"/>
    <xf numFmtId="0" fontId="0" fillId="2" borderId="1" xfId="0" applyFill="1" applyBorder="1"/>
    <xf numFmtId="2" fontId="0" fillId="2" borderId="0" xfId="0" applyNumberFormat="1" applyFill="1"/>
    <xf numFmtId="0" fontId="2" fillId="2" borderId="0" xfId="0" applyFont="1" applyFill="1"/>
    <xf numFmtId="0" fontId="3" fillId="2" borderId="0" xfId="0" applyFont="1" applyFill="1"/>
    <xf numFmtId="0" fontId="2" fillId="2" borderId="1" xfId="0" applyFont="1" applyFill="1" applyBorder="1"/>
    <xf numFmtId="0" fontId="3" fillId="2" borderId="1" xfId="0" applyFont="1" applyFill="1" applyBorder="1"/>
    <xf numFmtId="0" fontId="3" fillId="2" borderId="2" xfId="0" applyFont="1" applyFill="1" applyBorder="1"/>
    <xf numFmtId="0" fontId="2" fillId="2" borderId="2" xfId="0" applyFont="1" applyFill="1" applyBorder="1"/>
    <xf numFmtId="0" fontId="0" fillId="2" borderId="2" xfId="0" applyFill="1" applyBorder="1"/>
    <xf numFmtId="0" fontId="4" fillId="2" borderId="0" xfId="0" applyFont="1" applyFill="1"/>
    <xf numFmtId="43" fontId="0" fillId="2" borderId="0" xfId="1" applyFont="1" applyFill="1"/>
    <xf numFmtId="0" fontId="0" fillId="2" borderId="3" xfId="0" applyFill="1" applyBorder="1"/>
    <xf numFmtId="0" fontId="2" fillId="2" borderId="4" xfId="0" applyFont="1" applyFill="1" applyBorder="1"/>
    <xf numFmtId="44" fontId="0" fillId="2" borderId="0" xfId="2" applyFont="1" applyFill="1"/>
    <xf numFmtId="44" fontId="0" fillId="2" borderId="3" xfId="2" applyFont="1" applyFill="1" applyBorder="1"/>
    <xf numFmtId="43" fontId="0" fillId="2" borderId="3" xfId="1" applyFont="1" applyFill="1" applyBorder="1"/>
    <xf numFmtId="44" fontId="0" fillId="2" borderId="1" xfId="2" applyFont="1" applyFill="1" applyBorder="1"/>
    <xf numFmtId="44" fontId="0" fillId="2" borderId="0" xfId="2" applyFont="1" applyFill="1" applyBorder="1"/>
    <xf numFmtId="0" fontId="2" fillId="2" borderId="5" xfId="0" applyFont="1" applyFill="1" applyBorder="1"/>
    <xf numFmtId="0" fontId="2" fillId="2" borderId="6" xfId="0" applyFont="1" applyFill="1" applyBorder="1"/>
    <xf numFmtId="44" fontId="2" fillId="2" borderId="2" xfId="2" applyFont="1" applyFill="1" applyBorder="1"/>
    <xf numFmtId="44" fontId="2" fillId="2" borderId="0" xfId="2" applyFont="1" applyFill="1"/>
    <xf numFmtId="44" fontId="0" fillId="2" borderId="0" xfId="0" applyNumberFormat="1" applyFill="1"/>
    <xf numFmtId="44" fontId="2" fillId="2" borderId="6" xfId="2" applyFont="1" applyFill="1" applyBorder="1"/>
    <xf numFmtId="10" fontId="0" fillId="2" borderId="0" xfId="3" applyNumberFormat="1" applyFont="1" applyFill="1"/>
    <xf numFmtId="164" fontId="0" fillId="2" borderId="0" xfId="0" applyNumberFormat="1" applyFill="1"/>
    <xf numFmtId="165" fontId="0" fillId="2" borderId="1" xfId="0" applyNumberFormat="1" applyFill="1" applyBorder="1"/>
    <xf numFmtId="44" fontId="2" fillId="2" borderId="0" xfId="0" applyNumberFormat="1" applyFont="1" applyFill="1"/>
    <xf numFmtId="9" fontId="0" fillId="2" borderId="0" xfId="3" applyFont="1" applyFill="1"/>
    <xf numFmtId="10" fontId="0" fillId="2" borderId="0" xfId="0" applyNumberFormat="1" applyFill="1"/>
    <xf numFmtId="0" fontId="2" fillId="2" borderId="0" xfId="0" applyFont="1" applyFill="1" applyAlignment="1">
      <alignment horizontal="center"/>
    </xf>
    <xf numFmtId="10" fontId="1" fillId="2" borderId="0" xfId="3" applyNumberFormat="1" applyFont="1" applyFill="1" applyBorder="1"/>
    <xf numFmtId="0" fontId="6" fillId="0" borderId="7" xfId="0" applyFont="1" applyBorder="1"/>
    <xf numFmtId="0" fontId="0" fillId="3" borderId="7" xfId="0" applyFill="1" applyBorder="1" applyAlignment="1">
      <alignment horizontal="left" vertical="center"/>
    </xf>
    <xf numFmtId="0" fontId="0" fillId="3" borderId="7" xfId="0" applyFill="1" applyBorder="1" applyAlignment="1">
      <alignment horizontal="left" wrapText="1"/>
    </xf>
    <xf numFmtId="0" fontId="0" fillId="3" borderId="7" xfId="0" applyFill="1" applyBorder="1" applyAlignment="1">
      <alignment horizontal="left" vertical="center" wrapText="1"/>
    </xf>
    <xf numFmtId="0" fontId="0" fillId="4" borderId="7" xfId="0" applyFill="1" applyBorder="1" applyAlignment="1">
      <alignment vertical="center"/>
    </xf>
    <xf numFmtId="0" fontId="0" fillId="4" borderId="7" xfId="0" applyFill="1" applyBorder="1" applyAlignment="1">
      <alignment horizontal="left" vertical="center" wrapText="1"/>
    </xf>
    <xf numFmtId="0" fontId="7" fillId="3" borderId="7" xfId="4" applyFont="1" applyFill="1" applyBorder="1" applyAlignment="1">
      <alignment vertical="center"/>
    </xf>
    <xf numFmtId="0" fontId="0" fillId="5" borderId="7" xfId="0" applyFill="1" applyBorder="1" applyAlignment="1">
      <alignment vertical="center"/>
    </xf>
    <xf numFmtId="0" fontId="0" fillId="5" borderId="7" xfId="0" applyFill="1" applyBorder="1" applyAlignment="1">
      <alignment horizontal="left" vertical="center" wrapText="1"/>
    </xf>
    <xf numFmtId="0" fontId="0" fillId="5" borderId="7" xfId="0" applyFill="1" applyBorder="1" applyAlignment="1">
      <alignment horizontal="left" vertical="center"/>
    </xf>
    <xf numFmtId="44" fontId="1" fillId="2" borderId="0" xfId="2" applyFont="1" applyFill="1" applyBorder="1"/>
    <xf numFmtId="44" fontId="2" fillId="2" borderId="8" xfId="2" applyFont="1" applyFill="1" applyBorder="1"/>
    <xf numFmtId="44" fontId="2" fillId="2" borderId="2" xfId="0" applyNumberFormat="1" applyFont="1" applyFill="1" applyBorder="1"/>
    <xf numFmtId="0" fontId="2" fillId="2" borderId="0" xfId="0" applyFont="1" applyFill="1" applyAlignment="1">
      <alignment horizontal="right"/>
    </xf>
    <xf numFmtId="165" fontId="0" fillId="2" borderId="0" xfId="0" applyNumberFormat="1" applyFill="1"/>
    <xf numFmtId="43" fontId="0" fillId="2" borderId="0" xfId="1" applyFont="1" applyFill="1" applyBorder="1"/>
    <xf numFmtId="0" fontId="4" fillId="2" borderId="1" xfId="0" applyFont="1" applyFill="1" applyBorder="1"/>
    <xf numFmtId="0" fontId="4" fillId="2" borderId="4" xfId="0" applyFont="1" applyFill="1" applyBorder="1"/>
    <xf numFmtId="44" fontId="0" fillId="2" borderId="0" xfId="3" applyNumberFormat="1" applyFont="1" applyFill="1"/>
    <xf numFmtId="0" fontId="0" fillId="3" borderId="0" xfId="0" applyFill="1"/>
    <xf numFmtId="3" fontId="0" fillId="2" borderId="0" xfId="0" applyNumberFormat="1" applyFill="1"/>
    <xf numFmtId="0" fontId="2" fillId="2" borderId="3" xfId="0" applyFont="1" applyFill="1" applyBorder="1"/>
    <xf numFmtId="9" fontId="0" fillId="2" borderId="0" xfId="0" applyNumberFormat="1" applyFill="1"/>
    <xf numFmtId="44" fontId="1" fillId="2" borderId="0" xfId="2" applyFont="1" applyFill="1"/>
    <xf numFmtId="43" fontId="0" fillId="2" borderId="0" xfId="0" applyNumberFormat="1" applyFill="1"/>
    <xf numFmtId="8" fontId="2" fillId="2" borderId="2" xfId="0" applyNumberFormat="1" applyFont="1" applyFill="1" applyBorder="1"/>
    <xf numFmtId="166" fontId="0" fillId="2" borderId="0" xfId="1" applyNumberFormat="1" applyFont="1" applyFill="1"/>
    <xf numFmtId="43" fontId="0" fillId="2" borderId="1" xfId="1" applyFont="1" applyFill="1" applyBorder="1"/>
    <xf numFmtId="167" fontId="0" fillId="2" borderId="0" xfId="0" applyNumberFormat="1" applyFill="1"/>
    <xf numFmtId="10" fontId="0" fillId="2" borderId="0" xfId="3" applyNumberFormat="1" applyFont="1" applyFill="1" applyBorder="1"/>
    <xf numFmtId="168" fontId="0" fillId="2" borderId="0" xfId="1" applyNumberFormat="1" applyFont="1" applyFill="1"/>
    <xf numFmtId="10" fontId="2" fillId="2" borderId="0" xfId="3" applyNumberFormat="1" applyFont="1" applyFill="1"/>
    <xf numFmtId="166" fontId="0" fillId="2" borderId="0" xfId="0" applyNumberFormat="1" applyFill="1"/>
    <xf numFmtId="168" fontId="0" fillId="2" borderId="0" xfId="0" applyNumberFormat="1" applyFill="1"/>
    <xf numFmtId="10" fontId="2" fillId="2" borderId="6" xfId="3" applyNumberFormat="1" applyFont="1" applyFill="1" applyBorder="1"/>
    <xf numFmtId="2" fontId="0" fillId="2" borderId="1" xfId="0" applyNumberFormat="1" applyFill="1" applyBorder="1"/>
    <xf numFmtId="44" fontId="0" fillId="2" borderId="3" xfId="0" applyNumberFormat="1" applyFill="1" applyBorder="1"/>
    <xf numFmtId="10" fontId="0" fillId="2" borderId="3" xfId="3" applyNumberFormat="1" applyFont="1" applyFill="1" applyBorder="1"/>
    <xf numFmtId="10" fontId="2" fillId="2" borderId="0" xfId="3" applyNumberFormat="1" applyFont="1" applyFill="1" applyBorder="1"/>
    <xf numFmtId="10" fontId="2" fillId="2" borderId="0" xfId="0" applyNumberFormat="1" applyFont="1" applyFill="1"/>
    <xf numFmtId="0" fontId="2" fillId="3" borderId="0" xfId="0" applyFont="1" applyFill="1"/>
    <xf numFmtId="10" fontId="1" fillId="2" borderId="0" xfId="3" applyNumberFormat="1" applyFont="1" applyFill="1" applyBorder="1" applyAlignment="1"/>
    <xf numFmtId="43" fontId="0" fillId="2" borderId="1" xfId="0" applyNumberFormat="1" applyFill="1" applyBorder="1"/>
    <xf numFmtId="10" fontId="0" fillId="2" borderId="1" xfId="3" applyNumberFormat="1" applyFont="1" applyFill="1" applyBorder="1"/>
    <xf numFmtId="43" fontId="2" fillId="2" borderId="1" xfId="0" applyNumberFormat="1" applyFont="1" applyFill="1" applyBorder="1"/>
    <xf numFmtId="44" fontId="2" fillId="2" borderId="1" xfId="2" applyFont="1" applyFill="1" applyBorder="1"/>
    <xf numFmtId="0" fontId="2" fillId="2" borderId="0" xfId="0" applyFont="1" applyFill="1" applyAlignment="1">
      <alignment horizontal="left"/>
    </xf>
    <xf numFmtId="0" fontId="0" fillId="2" borderId="0" xfId="3" applyNumberFormat="1" applyFont="1" applyFill="1"/>
    <xf numFmtId="0" fontId="0" fillId="6" borderId="0" xfId="0" applyFill="1"/>
    <xf numFmtId="44" fontId="0" fillId="6" borderId="0" xfId="0" applyNumberFormat="1" applyFill="1"/>
    <xf numFmtId="0" fontId="2" fillId="6" borderId="0" xfId="0" applyFont="1" applyFill="1"/>
    <xf numFmtId="0" fontId="8" fillId="6" borderId="0" xfId="0" applyFont="1" applyFill="1"/>
    <xf numFmtId="44" fontId="0" fillId="2" borderId="1" xfId="0" applyNumberFormat="1" applyFill="1" applyBorder="1"/>
    <xf numFmtId="0" fontId="0" fillId="2" borderId="6" xfId="0" applyFill="1" applyBorder="1"/>
    <xf numFmtId="44" fontId="0" fillId="2" borderId="6" xfId="0" applyNumberFormat="1" applyFill="1" applyBorder="1"/>
    <xf numFmtId="0" fontId="2" fillId="2" borderId="1" xfId="0" applyFont="1" applyFill="1" applyBorder="1" applyAlignment="1">
      <alignment horizontal="center"/>
    </xf>
    <xf numFmtId="0" fontId="2" fillId="2" borderId="0" xfId="0" applyFont="1" applyFill="1" applyAlignment="1">
      <alignment horizontal="center"/>
    </xf>
    <xf numFmtId="0" fontId="2" fillId="2" borderId="4" xfId="0" applyFont="1" applyFill="1" applyBorder="1" applyAlignment="1">
      <alignment horizontal="center"/>
    </xf>
    <xf numFmtId="0" fontId="2" fillId="2" borderId="9" xfId="0" applyFont="1" applyFill="1" applyBorder="1" applyAlignment="1">
      <alignment horizontal="center"/>
    </xf>
    <xf numFmtId="0" fontId="2" fillId="6" borderId="0" xfId="0" applyFont="1" applyFill="1" applyAlignment="1">
      <alignment horizontal="center"/>
    </xf>
    <xf numFmtId="0" fontId="2" fillId="3" borderId="0" xfId="0" applyFont="1" applyFill="1" applyAlignment="1">
      <alignment horizontal="center"/>
    </xf>
    <xf numFmtId="0" fontId="0" fillId="2" borderId="1" xfId="0" applyFont="1" applyFill="1" applyBorder="1"/>
    <xf numFmtId="10" fontId="1" fillId="2" borderId="1" xfId="3" applyNumberFormat="1" applyFont="1" applyFill="1" applyBorder="1"/>
    <xf numFmtId="0" fontId="0" fillId="2" borderId="0" xfId="0" applyFont="1" applyFill="1" applyBorder="1"/>
    <xf numFmtId="0" fontId="0" fillId="2" borderId="0" xfId="0" applyFill="1" applyBorder="1"/>
    <xf numFmtId="0" fontId="2" fillId="2" borderId="0" xfId="0" applyFont="1" applyFill="1" applyBorder="1"/>
    <xf numFmtId="0" fontId="2" fillId="2" borderId="1" xfId="1" applyNumberFormat="1" applyFont="1" applyFill="1" applyBorder="1"/>
    <xf numFmtId="10" fontId="1" fillId="2" borderId="0" xfId="3" applyNumberFormat="1" applyFont="1" applyFill="1"/>
  </cellXfs>
  <cellStyles count="5">
    <cellStyle name="Comma" xfId="1" builtinId="3"/>
    <cellStyle name="Currency" xfId="2" builtinId="4"/>
    <cellStyle name="Hyperlink" xfId="4" builtinId="8"/>
    <cellStyle name="Normal" xfId="0" builtinId="0"/>
    <cellStyle name="Percent" xfId="3" builtinId="5"/>
  </cellStyles>
  <dxfs count="0"/>
  <tableStyles count="0" defaultTableStyle="TableStyleMedium2" defaultPivotStyle="PivotStyleLight16"/>
  <colors>
    <mruColors>
      <color rgb="FF2C7DCE"/>
      <color rgb="FFFF4343"/>
      <color rgb="FFFF6600"/>
      <color rgb="FFFF9966"/>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457199</xdr:colOff>
      <xdr:row>17</xdr:row>
      <xdr:rowOff>47625</xdr:rowOff>
    </xdr:from>
    <xdr:to>
      <xdr:col>16</xdr:col>
      <xdr:colOff>542924</xdr:colOff>
      <xdr:row>24</xdr:row>
      <xdr:rowOff>66675</xdr:rowOff>
    </xdr:to>
    <xdr:sp macro="" textlink="">
      <xdr:nvSpPr>
        <xdr:cNvPr id="2" name="TextBox 1">
          <a:extLst>
            <a:ext uri="{FF2B5EF4-FFF2-40B4-BE49-F238E27FC236}">
              <a16:creationId xmlns:a16="http://schemas.microsoft.com/office/drawing/2014/main" id="{7CF09566-8703-65F9-F437-E0F1D247529D}"/>
            </a:ext>
          </a:extLst>
        </xdr:cNvPr>
        <xdr:cNvSpPr txBox="1"/>
      </xdr:nvSpPr>
      <xdr:spPr>
        <a:xfrm>
          <a:off x="7619999" y="3286125"/>
          <a:ext cx="6791325"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Extraño</a:t>
          </a:r>
          <a:r>
            <a:rPr lang="en-US" sz="1100" baseline="0"/>
            <a:t> ver los impuestos de 0 en el 2023 y luego de $1.3 millones en el 2024. Viendo un poco, puede ser porque la empresa era una LLC, en ocasiones, no pagan impuesto de renta a nivel de compañía, si no, de manera personal, es decir, los dueños lo declaran.</a:t>
          </a:r>
        </a:p>
        <a:p>
          <a:r>
            <a:rPr lang="en-US" sz="1100" baseline="0"/>
            <a:t>El impuesto del 2023 no es representativo (0%), la estructura de la empresa antes de la IPO pudo haber sido otra y el resutlado que se obtiene del 4.56% en el 2024, tampoco funciona para los cálculos, por ende, se va a utilizar una tasa de impuesto normalizada del 25%, la cual, ronda esos números establecidos por la suma de la federal y la estatal en Estados Unidos.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54</xdr:row>
      <xdr:rowOff>180974</xdr:rowOff>
    </xdr:from>
    <xdr:to>
      <xdr:col>14</xdr:col>
      <xdr:colOff>314325</xdr:colOff>
      <xdr:row>58</xdr:row>
      <xdr:rowOff>66675</xdr:rowOff>
    </xdr:to>
    <xdr:sp macro="" textlink="">
      <xdr:nvSpPr>
        <xdr:cNvPr id="4" name="TextBox 3">
          <a:extLst>
            <a:ext uri="{FF2B5EF4-FFF2-40B4-BE49-F238E27FC236}">
              <a16:creationId xmlns:a16="http://schemas.microsoft.com/office/drawing/2014/main" id="{FC83F42A-F602-F65E-A2A9-F327BD1E2435}"/>
            </a:ext>
          </a:extLst>
        </xdr:cNvPr>
        <xdr:cNvSpPr txBox="1"/>
      </xdr:nvSpPr>
      <xdr:spPr>
        <a:xfrm>
          <a:off x="314325" y="9515474"/>
          <a:ext cx="15611475" cy="647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En el modelo se utiliza una tasa de impuesto normalizada del 25 %, que aproxima la combinación del impuesto federal corporativo de Estados Unidos (21 %) más los impuestos estatales aplicables en los estados del sureste donde opera Cardinal. Esta tasa busca reflejar una carga fiscal “de largo plazo” y es más representativa que las cifras puntuales de gasto por impuesto reportadas en 2023–2024, que están afectadas por ajustes contables y estructura previa a la IPO,</a:t>
          </a:r>
          <a:r>
            <a:rPr lang="en-US" baseline="0"/>
            <a:t> por ende, a</a:t>
          </a:r>
          <a:r>
            <a:rPr lang="en-US"/>
            <a:t>sumiendo una tasa de impuesto normalizada del 25 %, el ROIC de Cardinal se ubica</a:t>
          </a:r>
          <a:r>
            <a:rPr lang="en-US" baseline="0"/>
            <a:t> en</a:t>
          </a:r>
          <a:r>
            <a:rPr lang="en-US"/>
            <a:t> 43% para 2024.</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1209675</xdr:colOff>
      <xdr:row>1</xdr:row>
      <xdr:rowOff>76201</xdr:rowOff>
    </xdr:from>
    <xdr:to>
      <xdr:col>25</xdr:col>
      <xdr:colOff>57150</xdr:colOff>
      <xdr:row>10</xdr:row>
      <xdr:rowOff>28575</xdr:rowOff>
    </xdr:to>
    <xdr:sp macro="" textlink="">
      <xdr:nvSpPr>
        <xdr:cNvPr id="2" name="TextBox 1">
          <a:extLst>
            <a:ext uri="{FF2B5EF4-FFF2-40B4-BE49-F238E27FC236}">
              <a16:creationId xmlns:a16="http://schemas.microsoft.com/office/drawing/2014/main" id="{D573ACB5-AA62-4BA3-1228-E12881485A30}"/>
            </a:ext>
          </a:extLst>
        </xdr:cNvPr>
        <xdr:cNvSpPr txBox="1"/>
      </xdr:nvSpPr>
      <xdr:spPr>
        <a:xfrm>
          <a:off x="13420725" y="266701"/>
          <a:ext cx="10791825" cy="1666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Para el análisis comparativo se utilizan, en la medida de lo posible, las cifras del último año fiscal completo (2024) tanto para Cardinal como para las empresas comparables. En los casos en que alguna compañía no tenga aún información de 2024 disponible, se emplean los datos de 2023 como aproximación. Esto permite comparar tamaño, rentabilidad y gestión de capital de trabajo con una base de información lo más reciente posible. En todos los casos se utilizan las cifras del último año fiscal disponible. Para Cardinal, Sterling Infrastructure y Granite Construction el año fiscal coincide con el año calendario (cierre al 31 de diciembre), mientras que Construction Partners, Inc. (ROAD) presenta cierre al 30 de septiembre. Debido a que en todos los casos se trata de períodos de 12 meses recientes, se consideran comparables para efectos de analizar tamaño, rentabilidad y liquidez, aun cuando las fechas de cierre no sean idénticas.</a:t>
          </a:r>
        </a:p>
        <a:p>
          <a:r>
            <a:rPr lang="en-US"/>
            <a:t>Aunque Construction Partners (ROAD) ya reporta cifras del FY 2025, para este análisis se utilizan los datos de 2024, de forma consistente con Cardinal y las demás comparables. El crecimiento se mide entre 2023 y 2024 para todas las empresas, con el fin de trabajar sobre un horizonte homogéneo y alineado con el año base del modelo DCF.</a:t>
          </a:r>
          <a:endParaRPr lang="en-US" sz="1100"/>
        </a:p>
      </xdr:txBody>
    </xdr:sp>
    <xdr:clientData/>
  </xdr:twoCellAnchor>
  <xdr:twoCellAnchor>
    <xdr:from>
      <xdr:col>9</xdr:col>
      <xdr:colOff>1162049</xdr:colOff>
      <xdr:row>11</xdr:row>
      <xdr:rowOff>180974</xdr:rowOff>
    </xdr:from>
    <xdr:to>
      <xdr:col>24</xdr:col>
      <xdr:colOff>533400</xdr:colOff>
      <xdr:row>22</xdr:row>
      <xdr:rowOff>0</xdr:rowOff>
    </xdr:to>
    <xdr:sp macro="" textlink="">
      <xdr:nvSpPr>
        <xdr:cNvPr id="3" name="TextBox 2">
          <a:extLst>
            <a:ext uri="{FF2B5EF4-FFF2-40B4-BE49-F238E27FC236}">
              <a16:creationId xmlns:a16="http://schemas.microsoft.com/office/drawing/2014/main" id="{798C80DC-C0DD-F1DA-E17F-515CCFFAE31C}"/>
            </a:ext>
          </a:extLst>
        </xdr:cNvPr>
        <xdr:cNvSpPr txBox="1"/>
      </xdr:nvSpPr>
      <xdr:spPr>
        <a:xfrm>
          <a:off x="13373099" y="2276474"/>
          <a:ext cx="10706101" cy="11525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En empresas de construcción e infraestructura como Cardinal y sus comparables, el inventario tradicional es muy limitado; gran parte del “trabajo en proceso” se registra como activos por contratos (contract assets) y no como inventarios clásicos. Por esta razón, los indicadores de días de inventario (DIO) y el ciclo de conversión de efectivo (CCC) resultan menos representativos. En lugar de eso, para comparar la liquidez entre compañías se utilizan razones más estándar como el current ratio, mientras que el análisis detallado del capital de trabajo se realiza principalmente sobre Cardinal.</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200025</xdr:colOff>
      <xdr:row>55</xdr:row>
      <xdr:rowOff>104776</xdr:rowOff>
    </xdr:from>
    <xdr:to>
      <xdr:col>2</xdr:col>
      <xdr:colOff>742950</xdr:colOff>
      <xdr:row>57</xdr:row>
      <xdr:rowOff>28575</xdr:rowOff>
    </xdr:to>
    <xdr:sp macro="" textlink="">
      <xdr:nvSpPr>
        <xdr:cNvPr id="4" name="TextBox 3">
          <a:extLst>
            <a:ext uri="{FF2B5EF4-FFF2-40B4-BE49-F238E27FC236}">
              <a16:creationId xmlns:a16="http://schemas.microsoft.com/office/drawing/2014/main" id="{423074F3-B660-1316-E463-A0BB3BB69A6C}"/>
            </a:ext>
          </a:extLst>
        </xdr:cNvPr>
        <xdr:cNvSpPr txBox="1"/>
      </xdr:nvSpPr>
      <xdr:spPr>
        <a:xfrm>
          <a:off x="400050" y="9248776"/>
          <a:ext cx="3543300" cy="3047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ROIC &gt; WACC</a:t>
          </a:r>
          <a:r>
            <a:rPr lang="en-US" sz="1100"/>
            <a:t>.</a:t>
          </a:r>
          <a:r>
            <a:rPr lang="en-US" sz="1100" baseline="0"/>
            <a:t> Empresa crea valor.</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5C6E4-2BE6-469A-94E8-CCB1E0D41535}">
  <dimension ref="B1:F10"/>
  <sheetViews>
    <sheetView tabSelected="1" workbookViewId="0"/>
  </sheetViews>
  <sheetFormatPr defaultRowHeight="15" x14ac:dyDescent="0.25"/>
  <cols>
    <col min="1" max="1" width="3" style="1" customWidth="1"/>
    <col min="2" max="2" width="44" style="1" bestFit="1" customWidth="1"/>
    <col min="3" max="3" width="16.28515625" style="15" bestFit="1" customWidth="1"/>
    <col min="4" max="4" width="16.28515625" style="1" bestFit="1" customWidth="1"/>
    <col min="5" max="5" width="18" style="1" bestFit="1" customWidth="1"/>
    <col min="6" max="6" width="15.28515625" style="1" bestFit="1" customWidth="1"/>
    <col min="7" max="16384" width="9.140625" style="1"/>
  </cols>
  <sheetData>
    <row r="1" spans="2:6" x14ac:dyDescent="0.25">
      <c r="B1" s="4" t="s">
        <v>270</v>
      </c>
    </row>
    <row r="3" spans="2:6" x14ac:dyDescent="0.25">
      <c r="B3" s="4" t="s">
        <v>47</v>
      </c>
      <c r="C3" s="19">
        <v>768000000</v>
      </c>
      <c r="D3" s="24">
        <v>805000000</v>
      </c>
    </row>
    <row r="4" spans="2:6" x14ac:dyDescent="0.25">
      <c r="B4" s="4" t="s">
        <v>283</v>
      </c>
      <c r="C4" s="12"/>
      <c r="D4" s="12">
        <v>36610000</v>
      </c>
      <c r="E4" s="58"/>
      <c r="F4" s="54"/>
    </row>
    <row r="5" spans="2:6" x14ac:dyDescent="0.25">
      <c r="B5" s="4" t="s">
        <v>48</v>
      </c>
      <c r="C5" s="19">
        <v>20</v>
      </c>
      <c r="D5" s="19">
        <v>22</v>
      </c>
    </row>
    <row r="6" spans="2:6" x14ac:dyDescent="0.25">
      <c r="B6" s="6" t="s">
        <v>49</v>
      </c>
      <c r="C6" s="18">
        <v>253000000</v>
      </c>
      <c r="D6" s="2"/>
    </row>
    <row r="10" spans="2:6" x14ac:dyDescent="0.25">
      <c r="F10"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478E-87C3-43DC-94C8-D39FD39F1814}">
  <dimension ref="B1:E9"/>
  <sheetViews>
    <sheetView workbookViewId="0"/>
  </sheetViews>
  <sheetFormatPr defaultRowHeight="15" x14ac:dyDescent="0.25"/>
  <cols>
    <col min="1" max="1" width="3" style="1" customWidth="1"/>
    <col min="2" max="2" width="55.85546875" style="1" customWidth="1"/>
    <col min="3" max="3" width="13.5703125" style="1" customWidth="1"/>
    <col min="4" max="4" width="71.5703125" style="1" bestFit="1" customWidth="1"/>
    <col min="5" max="5" width="181" style="1" bestFit="1" customWidth="1"/>
    <col min="6" max="16384" width="9.140625" style="1"/>
  </cols>
  <sheetData>
    <row r="1" spans="2:5" ht="15.75" x14ac:dyDescent="0.25">
      <c r="B1" s="34" t="s">
        <v>50</v>
      </c>
      <c r="C1" s="34" t="s">
        <v>51</v>
      </c>
      <c r="D1" s="34" t="s">
        <v>53</v>
      </c>
      <c r="E1" s="34" t="s">
        <v>52</v>
      </c>
    </row>
    <row r="2" spans="2:5" ht="345" x14ac:dyDescent="0.25">
      <c r="B2" s="38" t="s">
        <v>54</v>
      </c>
      <c r="C2" s="38" t="s">
        <v>55</v>
      </c>
      <c r="D2" s="39" t="s">
        <v>56</v>
      </c>
      <c r="E2" s="39" t="s">
        <v>57</v>
      </c>
    </row>
    <row r="3" spans="2:5" ht="270" x14ac:dyDescent="0.25">
      <c r="B3" s="35" t="s">
        <v>58</v>
      </c>
      <c r="C3" s="35" t="s">
        <v>59</v>
      </c>
      <c r="D3" s="36" t="s">
        <v>60</v>
      </c>
      <c r="E3" s="40" t="s">
        <v>61</v>
      </c>
    </row>
    <row r="4" spans="2:5" ht="330" x14ac:dyDescent="0.25">
      <c r="B4" s="35" t="s">
        <v>82</v>
      </c>
      <c r="C4" s="35" t="s">
        <v>81</v>
      </c>
      <c r="D4" s="37" t="s">
        <v>80</v>
      </c>
      <c r="E4" s="37" t="s">
        <v>83</v>
      </c>
    </row>
    <row r="5" spans="2:5" ht="255" x14ac:dyDescent="0.25">
      <c r="B5" s="35" t="s">
        <v>65</v>
      </c>
      <c r="C5" s="35" t="s">
        <v>66</v>
      </c>
      <c r="D5" s="37" t="s">
        <v>67</v>
      </c>
      <c r="E5" s="37" t="s">
        <v>126</v>
      </c>
    </row>
    <row r="6" spans="2:5" ht="165" x14ac:dyDescent="0.25">
      <c r="B6" s="41" t="s">
        <v>62</v>
      </c>
      <c r="C6" s="41" t="s">
        <v>63</v>
      </c>
      <c r="D6" s="42" t="s">
        <v>64</v>
      </c>
      <c r="E6" s="42" t="s">
        <v>125</v>
      </c>
    </row>
    <row r="7" spans="2:5" ht="405" x14ac:dyDescent="0.25">
      <c r="B7" s="41" t="s">
        <v>68</v>
      </c>
      <c r="C7" s="41" t="s">
        <v>69</v>
      </c>
      <c r="D7" s="42" t="s">
        <v>70</v>
      </c>
      <c r="E7" s="42" t="s">
        <v>71</v>
      </c>
    </row>
    <row r="8" spans="2:5" ht="390" x14ac:dyDescent="0.25">
      <c r="B8" s="43" t="s">
        <v>72</v>
      </c>
      <c r="C8" s="43" t="s">
        <v>73</v>
      </c>
      <c r="D8" s="42" t="s">
        <v>74</v>
      </c>
      <c r="E8" s="42" t="s">
        <v>79</v>
      </c>
    </row>
    <row r="9" spans="2:5" ht="409.5" x14ac:dyDescent="0.25">
      <c r="B9" s="43" t="s">
        <v>75</v>
      </c>
      <c r="C9" s="43" t="s">
        <v>76</v>
      </c>
      <c r="D9" s="42" t="s">
        <v>77</v>
      </c>
      <c r="E9" s="42" t="s">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AAB95-B33B-4A50-B9FE-D270EF177299}">
  <dimension ref="B1:P37"/>
  <sheetViews>
    <sheetView workbookViewId="0"/>
  </sheetViews>
  <sheetFormatPr defaultRowHeight="15" x14ac:dyDescent="0.25"/>
  <cols>
    <col min="1" max="1" width="3.7109375" style="1" customWidth="1"/>
    <col min="2" max="2" width="7" style="1" customWidth="1"/>
    <col min="3" max="5" width="14.7109375" style="1" customWidth="1"/>
    <col min="6" max="6" width="9.140625" style="1"/>
    <col min="7" max="7" width="12.28515625" style="1" customWidth="1"/>
    <col min="8" max="9" width="16.28515625" style="1" bestFit="1" customWidth="1"/>
    <col min="10" max="16384" width="9.140625" style="1"/>
  </cols>
  <sheetData>
    <row r="1" spans="2:16" x14ac:dyDescent="0.25">
      <c r="B1" s="1" t="s">
        <v>109</v>
      </c>
    </row>
    <row r="2" spans="2:16" x14ac:dyDescent="0.25">
      <c r="B2" s="4" t="s">
        <v>113</v>
      </c>
      <c r="H2" s="4"/>
      <c r="I2" s="4"/>
    </row>
    <row r="3" spans="2:16" x14ac:dyDescent="0.25">
      <c r="B3" s="11" t="s">
        <v>112</v>
      </c>
      <c r="H3" s="4"/>
      <c r="I3" s="4"/>
    </row>
    <row r="4" spans="2:16" x14ac:dyDescent="0.25">
      <c r="H4" s="89" t="s">
        <v>14</v>
      </c>
      <c r="I4" s="89"/>
    </row>
    <row r="5" spans="2:16" x14ac:dyDescent="0.25">
      <c r="H5" s="9">
        <v>2023</v>
      </c>
      <c r="I5" s="9">
        <v>2024</v>
      </c>
    </row>
    <row r="6" spans="2:16" x14ac:dyDescent="0.25">
      <c r="B6" s="6" t="s">
        <v>3</v>
      </c>
      <c r="C6" s="2"/>
      <c r="D6" s="2"/>
      <c r="E6" s="2"/>
      <c r="F6" s="2"/>
      <c r="G6" s="2"/>
      <c r="H6" s="6"/>
      <c r="I6" s="6"/>
    </row>
    <row r="7" spans="2:16" x14ac:dyDescent="0.25">
      <c r="B7" s="1" t="s">
        <v>4</v>
      </c>
      <c r="H7" s="15">
        <v>7220616</v>
      </c>
      <c r="I7" s="15">
        <v>20917108</v>
      </c>
      <c r="M7" s="24">
        <f>+H18-H37</f>
        <v>0</v>
      </c>
      <c r="N7" s="24">
        <f>+I18-I37</f>
        <v>0</v>
      </c>
      <c r="O7" s="24"/>
      <c r="P7" s="24"/>
    </row>
    <row r="8" spans="2:16" x14ac:dyDescent="0.25">
      <c r="B8" s="1" t="s">
        <v>5</v>
      </c>
      <c r="H8" s="15">
        <v>34089899</v>
      </c>
      <c r="I8" s="15">
        <v>38304817</v>
      </c>
    </row>
    <row r="9" spans="2:16" x14ac:dyDescent="0.25">
      <c r="B9" s="1" t="s">
        <v>141</v>
      </c>
      <c r="H9" s="15">
        <v>18126751</v>
      </c>
      <c r="I9" s="15">
        <v>17700380</v>
      </c>
    </row>
    <row r="10" spans="2:16" x14ac:dyDescent="0.25">
      <c r="B10" s="1" t="s">
        <v>6</v>
      </c>
      <c r="H10" s="15">
        <v>340160</v>
      </c>
      <c r="I10" s="15">
        <v>373442</v>
      </c>
    </row>
    <row r="11" spans="2:16" x14ac:dyDescent="0.25">
      <c r="B11" s="1" t="s">
        <v>7</v>
      </c>
      <c r="H11" s="15">
        <v>1538498</v>
      </c>
      <c r="I11" s="15">
        <v>89349</v>
      </c>
    </row>
    <row r="12" spans="2:16" x14ac:dyDescent="0.25">
      <c r="B12" s="9" t="s">
        <v>8</v>
      </c>
      <c r="C12" s="10"/>
      <c r="D12" s="10"/>
      <c r="E12" s="10"/>
      <c r="F12" s="10"/>
      <c r="G12" s="10"/>
      <c r="H12" s="22">
        <f>SUM(H7:H11)</f>
        <v>61315924</v>
      </c>
      <c r="I12" s="22">
        <f t="shared" ref="I12" si="0">SUM(I7:I11)</f>
        <v>77385096</v>
      </c>
    </row>
    <row r="13" spans="2:16" x14ac:dyDescent="0.25">
      <c r="B13" s="1" t="s">
        <v>84</v>
      </c>
      <c r="H13" s="15">
        <v>43840783</v>
      </c>
      <c r="I13" s="15">
        <v>49784405</v>
      </c>
    </row>
    <row r="14" spans="2:16" x14ac:dyDescent="0.25">
      <c r="B14" s="1" t="s">
        <v>85</v>
      </c>
      <c r="H14" s="15">
        <v>6190800</v>
      </c>
      <c r="I14" s="15">
        <v>5109316</v>
      </c>
    </row>
    <row r="15" spans="2:16" x14ac:dyDescent="0.25">
      <c r="B15" s="1" t="s">
        <v>86</v>
      </c>
      <c r="H15" s="15">
        <v>369486</v>
      </c>
      <c r="I15" s="15">
        <v>984041</v>
      </c>
    </row>
    <row r="16" spans="2:16" x14ac:dyDescent="0.25">
      <c r="B16" s="1" t="s">
        <v>87</v>
      </c>
      <c r="H16" s="15">
        <v>7050963</v>
      </c>
      <c r="I16" s="15">
        <v>7050963</v>
      </c>
    </row>
    <row r="17" spans="2:9" x14ac:dyDescent="0.25">
      <c r="B17" s="9" t="s">
        <v>9</v>
      </c>
      <c r="C17" s="9"/>
      <c r="D17" s="9"/>
      <c r="E17" s="9"/>
      <c r="F17" s="9"/>
      <c r="G17" s="9"/>
      <c r="H17" s="22">
        <f>SUM(H13:H16)</f>
        <v>57452032</v>
      </c>
      <c r="I17" s="22">
        <f>SUM(I13:I16)</f>
        <v>62928725</v>
      </c>
    </row>
    <row r="18" spans="2:9" x14ac:dyDescent="0.25">
      <c r="B18" s="9" t="s">
        <v>2</v>
      </c>
      <c r="C18" s="10"/>
      <c r="D18" s="10"/>
      <c r="E18" s="10"/>
      <c r="F18" s="10"/>
      <c r="G18" s="10"/>
      <c r="H18" s="22">
        <f>+H17+H12</f>
        <v>118767956</v>
      </c>
      <c r="I18" s="22">
        <f t="shared" ref="I18" si="1">+I17+I12</f>
        <v>140313821</v>
      </c>
    </row>
    <row r="19" spans="2:9" x14ac:dyDescent="0.25">
      <c r="H19" s="15"/>
      <c r="I19" s="15"/>
    </row>
    <row r="20" spans="2:9" x14ac:dyDescent="0.25">
      <c r="B20" s="6" t="s">
        <v>10</v>
      </c>
      <c r="C20" s="2"/>
      <c r="D20" s="2"/>
      <c r="E20" s="2"/>
      <c r="F20" s="2"/>
      <c r="G20" s="2"/>
      <c r="H20" s="18"/>
      <c r="I20" s="18"/>
    </row>
    <row r="21" spans="2:9" x14ac:dyDescent="0.25">
      <c r="B21" s="1" t="s">
        <v>90</v>
      </c>
      <c r="H21" s="15">
        <v>12612255</v>
      </c>
      <c r="I21" s="15">
        <v>11112540</v>
      </c>
    </row>
    <row r="22" spans="2:9" x14ac:dyDescent="0.25">
      <c r="B22" s="1" t="s">
        <v>91</v>
      </c>
      <c r="H22" s="15">
        <v>2233141</v>
      </c>
      <c r="I22" s="15">
        <v>3075705</v>
      </c>
    </row>
    <row r="23" spans="2:9" x14ac:dyDescent="0.25">
      <c r="B23" s="1" t="s">
        <v>92</v>
      </c>
      <c r="H23" s="15">
        <v>2707054</v>
      </c>
      <c r="I23" s="15">
        <v>2801545</v>
      </c>
    </row>
    <row r="24" spans="2:9" x14ac:dyDescent="0.25">
      <c r="B24" s="1" t="s">
        <v>11</v>
      </c>
      <c r="H24" s="15">
        <v>41279367</v>
      </c>
      <c r="I24" s="15">
        <v>38279318</v>
      </c>
    </row>
    <row r="25" spans="2:9" x14ac:dyDescent="0.25">
      <c r="B25" s="1" t="s">
        <v>88</v>
      </c>
      <c r="H25" s="15">
        <v>918826</v>
      </c>
      <c r="I25" s="15">
        <v>341736</v>
      </c>
    </row>
    <row r="26" spans="2:9" x14ac:dyDescent="0.25">
      <c r="B26" s="1" t="s">
        <v>12</v>
      </c>
      <c r="H26" s="15">
        <v>1443367</v>
      </c>
      <c r="I26" s="15">
        <v>792427</v>
      </c>
    </row>
    <row r="27" spans="2:9" x14ac:dyDescent="0.25">
      <c r="B27" s="1" t="s">
        <v>89</v>
      </c>
      <c r="H27" s="15">
        <v>12449842</v>
      </c>
      <c r="I27" s="15">
        <v>14143518</v>
      </c>
    </row>
    <row r="28" spans="2:9" x14ac:dyDescent="0.25">
      <c r="B28" s="9" t="s">
        <v>13</v>
      </c>
      <c r="C28" s="9"/>
      <c r="D28" s="9"/>
      <c r="E28" s="9"/>
      <c r="F28" s="9"/>
      <c r="G28" s="9"/>
      <c r="H28" s="22">
        <f>SUM(H21:H27)</f>
        <v>73643852</v>
      </c>
      <c r="I28" s="22">
        <f>SUM(I21:I27)</f>
        <v>70546789</v>
      </c>
    </row>
    <row r="29" spans="2:9" x14ac:dyDescent="0.25">
      <c r="B29" s="1" t="s">
        <v>121</v>
      </c>
      <c r="H29" s="15">
        <v>27592777</v>
      </c>
      <c r="I29" s="15">
        <v>36821209</v>
      </c>
    </row>
    <row r="30" spans="2:9" x14ac:dyDescent="0.25">
      <c r="B30" s="1" t="s">
        <v>93</v>
      </c>
      <c r="H30" s="15">
        <v>6454214</v>
      </c>
      <c r="I30" s="15">
        <v>7161862</v>
      </c>
    </row>
    <row r="31" spans="2:9" x14ac:dyDescent="0.25">
      <c r="B31" s="1" t="s">
        <v>94</v>
      </c>
      <c r="H31" s="15">
        <v>3607652</v>
      </c>
      <c r="I31" s="15">
        <v>2429985</v>
      </c>
    </row>
    <row r="32" spans="2:9" x14ac:dyDescent="0.25">
      <c r="B32" s="9" t="s">
        <v>16</v>
      </c>
      <c r="C32" s="9"/>
      <c r="D32" s="9"/>
      <c r="E32" s="9"/>
      <c r="F32" s="9"/>
      <c r="G32" s="9"/>
      <c r="H32" s="22">
        <f>SUM(H29:H31)</f>
        <v>37654643</v>
      </c>
      <c r="I32" s="22">
        <f>SUM(I29:I31)</f>
        <v>46413056</v>
      </c>
    </row>
    <row r="33" spans="2:9" x14ac:dyDescent="0.25">
      <c r="B33" s="9" t="s">
        <v>95</v>
      </c>
      <c r="C33" s="9"/>
      <c r="D33" s="9"/>
      <c r="E33" s="9"/>
      <c r="F33" s="9"/>
      <c r="G33" s="9"/>
      <c r="H33" s="22">
        <f>+H32+H28</f>
        <v>111298495</v>
      </c>
      <c r="I33" s="22">
        <f>+I32+I28</f>
        <v>116959845</v>
      </c>
    </row>
    <row r="34" spans="2:9" x14ac:dyDescent="0.25">
      <c r="B34" s="1" t="s">
        <v>97</v>
      </c>
      <c r="C34" s="4"/>
      <c r="D34" s="4"/>
      <c r="E34" s="4"/>
      <c r="F34" s="4"/>
      <c r="G34" s="4"/>
      <c r="H34" s="44">
        <v>7026140</v>
      </c>
      <c r="I34" s="44">
        <v>11596261</v>
      </c>
    </row>
    <row r="35" spans="2:9" x14ac:dyDescent="0.25">
      <c r="B35" s="2" t="s">
        <v>96</v>
      </c>
      <c r="C35" s="2"/>
      <c r="D35" s="2"/>
      <c r="E35" s="2"/>
      <c r="F35" s="2"/>
      <c r="G35" s="2"/>
      <c r="H35" s="18">
        <v>443321</v>
      </c>
      <c r="I35" s="18">
        <v>11757715</v>
      </c>
    </row>
    <row r="36" spans="2:9" x14ac:dyDescent="0.25">
      <c r="B36" s="4" t="s">
        <v>98</v>
      </c>
      <c r="H36" s="19">
        <f>SUM(H34:H35)</f>
        <v>7469461</v>
      </c>
      <c r="I36" s="19">
        <f>SUM(I34:I35)</f>
        <v>23353976</v>
      </c>
    </row>
    <row r="37" spans="2:9" x14ac:dyDescent="0.25">
      <c r="B37" s="4" t="s">
        <v>15</v>
      </c>
      <c r="C37" s="4"/>
      <c r="D37" s="4"/>
      <c r="E37" s="4"/>
      <c r="F37" s="4"/>
      <c r="G37" s="4"/>
      <c r="H37" s="23">
        <f>+H28+H32+H36</f>
        <v>118767956</v>
      </c>
      <c r="I37" s="23">
        <f>+I28+I32+I36</f>
        <v>140313821</v>
      </c>
    </row>
  </sheetData>
  <mergeCells count="1">
    <mergeCell ref="H4:I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FC00-3319-4E17-844B-4713AE9456B3}">
  <dimension ref="B1:E24"/>
  <sheetViews>
    <sheetView workbookViewId="0"/>
  </sheetViews>
  <sheetFormatPr defaultRowHeight="15" x14ac:dyDescent="0.25"/>
  <cols>
    <col min="1" max="1" width="5.140625" style="1" customWidth="1"/>
    <col min="2" max="2" width="54.42578125" style="1" customWidth="1"/>
    <col min="3" max="4" width="16.28515625" style="1" bestFit="1" customWidth="1"/>
    <col min="5" max="5" width="15.28515625" style="1" bestFit="1" customWidth="1"/>
    <col min="6" max="16384" width="9.140625" style="1"/>
  </cols>
  <sheetData>
    <row r="1" spans="2:5" x14ac:dyDescent="0.25">
      <c r="B1" s="1" t="s">
        <v>109</v>
      </c>
    </row>
    <row r="2" spans="2:5" x14ac:dyDescent="0.25">
      <c r="B2" s="4" t="s">
        <v>111</v>
      </c>
    </row>
    <row r="3" spans="2:5" x14ac:dyDescent="0.25">
      <c r="B3" s="4" t="s">
        <v>110</v>
      </c>
    </row>
    <row r="4" spans="2:5" x14ac:dyDescent="0.25">
      <c r="B4" s="11"/>
    </row>
    <row r="6" spans="2:5" x14ac:dyDescent="0.25">
      <c r="C6" s="89" t="s">
        <v>17</v>
      </c>
      <c r="D6" s="89"/>
    </row>
    <row r="7" spans="2:5" x14ac:dyDescent="0.25">
      <c r="B7" s="10"/>
      <c r="C7" s="9">
        <v>2023</v>
      </c>
      <c r="D7" s="6">
        <v>2024</v>
      </c>
    </row>
    <row r="8" spans="2:5" x14ac:dyDescent="0.25">
      <c r="B8" s="10"/>
      <c r="C8" s="9"/>
      <c r="D8" s="9"/>
    </row>
    <row r="9" spans="2:5" x14ac:dyDescent="0.25">
      <c r="B9" s="1" t="s">
        <v>99</v>
      </c>
      <c r="C9" s="15">
        <v>247924063</v>
      </c>
      <c r="D9" s="15">
        <v>315187523</v>
      </c>
    </row>
    <row r="10" spans="2:5" x14ac:dyDescent="0.25">
      <c r="B10" s="2" t="s">
        <v>18</v>
      </c>
      <c r="C10" s="18">
        <v>199080030</v>
      </c>
      <c r="D10" s="18">
        <v>249888575</v>
      </c>
      <c r="E10" s="24"/>
    </row>
    <row r="11" spans="2:5" x14ac:dyDescent="0.25">
      <c r="B11" s="9" t="s">
        <v>0</v>
      </c>
      <c r="C11" s="22">
        <f>+C9-C10</f>
        <v>48844033</v>
      </c>
      <c r="D11" s="22">
        <f>+D9-D10</f>
        <v>65298948</v>
      </c>
    </row>
    <row r="12" spans="2:5" x14ac:dyDescent="0.25">
      <c r="B12" s="1" t="s">
        <v>19</v>
      </c>
      <c r="C12" s="15">
        <v>6498758</v>
      </c>
      <c r="D12" s="15">
        <v>10687302</v>
      </c>
    </row>
    <row r="13" spans="2:5" x14ac:dyDescent="0.25">
      <c r="B13" s="1" t="s">
        <v>100</v>
      </c>
      <c r="C13" s="15">
        <v>13181191</v>
      </c>
      <c r="D13" s="15">
        <v>18663746</v>
      </c>
    </row>
    <row r="14" spans="2:5" x14ac:dyDescent="0.25">
      <c r="B14" s="2" t="s">
        <v>101</v>
      </c>
      <c r="C14" s="18">
        <v>-365919</v>
      </c>
      <c r="D14" s="18">
        <v>13534</v>
      </c>
    </row>
    <row r="15" spans="2:5" x14ac:dyDescent="0.25">
      <c r="B15" s="9" t="s">
        <v>44</v>
      </c>
      <c r="C15" s="22">
        <f t="shared" ref="C15" si="0">SUM(C12:C14)</f>
        <v>19314030</v>
      </c>
      <c r="D15" s="22">
        <f>SUM(D12:D14)</f>
        <v>29364582</v>
      </c>
    </row>
    <row r="16" spans="2:5" x14ac:dyDescent="0.25">
      <c r="B16" s="9" t="s">
        <v>20</v>
      </c>
      <c r="C16" s="22">
        <f t="shared" ref="C16:D16" si="1">+C11-C15</f>
        <v>29530003</v>
      </c>
      <c r="D16" s="22">
        <f t="shared" si="1"/>
        <v>35934366</v>
      </c>
      <c r="E16" s="24"/>
    </row>
    <row r="17" spans="2:4" x14ac:dyDescent="0.25">
      <c r="B17" s="1" t="s">
        <v>102</v>
      </c>
      <c r="C17" s="15">
        <v>-3990288</v>
      </c>
      <c r="D17" s="15">
        <v>-4828058</v>
      </c>
    </row>
    <row r="18" spans="2:4" x14ac:dyDescent="0.25">
      <c r="B18" s="1" t="s">
        <v>103</v>
      </c>
      <c r="C18" s="15">
        <v>-1242923</v>
      </c>
      <c r="D18" s="15">
        <v>-1456565</v>
      </c>
    </row>
    <row r="19" spans="2:4" x14ac:dyDescent="0.25">
      <c r="B19" s="9" t="s">
        <v>21</v>
      </c>
      <c r="C19" s="22">
        <f>SUM(C17:C18)</f>
        <v>-5233211</v>
      </c>
      <c r="D19" s="22">
        <f>SUM(D17:D18)</f>
        <v>-6284623</v>
      </c>
    </row>
    <row r="20" spans="2:4" x14ac:dyDescent="0.25">
      <c r="B20" s="9" t="s">
        <v>104</v>
      </c>
      <c r="C20" s="22">
        <f>+C16+C19</f>
        <v>24296792</v>
      </c>
      <c r="D20" s="45">
        <f>+D16+D19</f>
        <v>29649743</v>
      </c>
    </row>
    <row r="21" spans="2:4" x14ac:dyDescent="0.25">
      <c r="B21" s="1" t="s">
        <v>105</v>
      </c>
      <c r="C21" s="15">
        <v>0</v>
      </c>
      <c r="D21" s="15">
        <v>-1352509</v>
      </c>
    </row>
    <row r="22" spans="2:4" x14ac:dyDescent="0.25">
      <c r="B22" s="9" t="s">
        <v>106</v>
      </c>
      <c r="C22" s="46">
        <f>+C20+C21</f>
        <v>24296792</v>
      </c>
      <c r="D22" s="46">
        <f>+D20+D21</f>
        <v>28297234</v>
      </c>
    </row>
    <row r="23" spans="2:4" x14ac:dyDescent="0.25">
      <c r="B23" s="1" t="s">
        <v>107</v>
      </c>
      <c r="C23" s="15">
        <v>3724472</v>
      </c>
      <c r="D23" s="15">
        <v>6939888</v>
      </c>
    </row>
    <row r="24" spans="2:4" x14ac:dyDescent="0.25">
      <c r="B24" s="21" t="s">
        <v>108</v>
      </c>
      <c r="C24" s="25">
        <f>+C22-C23</f>
        <v>20572320</v>
      </c>
      <c r="D24" s="25">
        <f>+D22-D23</f>
        <v>21357346</v>
      </c>
    </row>
  </sheetData>
  <mergeCells count="1">
    <mergeCell ref="C6:D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5020-1FAB-466F-BC03-0E44D5A9B6E6}">
  <dimension ref="B1:S65"/>
  <sheetViews>
    <sheetView workbookViewId="0"/>
  </sheetViews>
  <sheetFormatPr defaultRowHeight="15" x14ac:dyDescent="0.25"/>
  <cols>
    <col min="1" max="1" width="5.140625" style="1" customWidth="1"/>
    <col min="2" max="2" width="25.28515625" style="1" customWidth="1"/>
    <col min="3" max="3" width="9.140625" style="1"/>
    <col min="4" max="4" width="15.28515625" style="1" bestFit="1" customWidth="1"/>
    <col min="5" max="5" width="16" style="1" bestFit="1" customWidth="1"/>
    <col min="6" max="6" width="17" style="1" bestFit="1" customWidth="1"/>
    <col min="7" max="7" width="9.140625" style="1"/>
    <col min="8" max="8" width="11.85546875" style="1" bestFit="1" customWidth="1"/>
    <col min="9" max="9" width="22.42578125" style="1" customWidth="1"/>
    <col min="10" max="10" width="23.5703125" style="1" customWidth="1"/>
    <col min="11" max="11" width="18" style="1" customWidth="1"/>
    <col min="12" max="12" width="15.85546875" style="1" customWidth="1"/>
    <col min="13" max="13" width="27.7109375" style="1" customWidth="1"/>
    <col min="14" max="14" width="17.7109375" style="1" customWidth="1"/>
    <col min="15" max="15" width="16" style="1" bestFit="1" customWidth="1"/>
    <col min="16" max="16" width="16.28515625" style="1" customWidth="1"/>
    <col min="17" max="17" width="19.7109375" style="1" customWidth="1"/>
    <col min="18" max="18" width="27" style="1" customWidth="1"/>
    <col min="19" max="16384" width="9.140625" style="1"/>
  </cols>
  <sheetData>
    <row r="1" spans="2:19" x14ac:dyDescent="0.25">
      <c r="G1" s="32"/>
      <c r="H1" s="80" t="s">
        <v>260</v>
      </c>
      <c r="I1" s="47">
        <v>2023</v>
      </c>
      <c r="J1" s="47">
        <v>2024</v>
      </c>
    </row>
    <row r="2" spans="2:19" x14ac:dyDescent="0.25">
      <c r="F2" s="32"/>
      <c r="G2" s="32"/>
      <c r="H2" s="80" t="s">
        <v>259</v>
      </c>
      <c r="I2" s="33">
        <f>+IS!C21/IS!C20</f>
        <v>0</v>
      </c>
      <c r="J2" s="33">
        <f>+IS!D21/IS!D20</f>
        <v>-4.5616213267008758E-2</v>
      </c>
      <c r="M2" s="4" t="s">
        <v>255</v>
      </c>
    </row>
    <row r="3" spans="2:19" x14ac:dyDescent="0.25">
      <c r="B3" s="7" t="s">
        <v>22</v>
      </c>
      <c r="C3" s="6"/>
      <c r="D3" s="6">
        <v>2023</v>
      </c>
      <c r="E3" s="6">
        <v>2024</v>
      </c>
      <c r="F3" s="89"/>
      <c r="G3" s="89"/>
      <c r="H3" s="32"/>
      <c r="I3" s="7" t="s">
        <v>43</v>
      </c>
      <c r="J3" s="6"/>
      <c r="K3" s="6">
        <v>2024</v>
      </c>
      <c r="L3" s="4"/>
      <c r="M3" s="6" t="s">
        <v>251</v>
      </c>
      <c r="N3" s="6" t="s">
        <v>173</v>
      </c>
      <c r="O3" s="6" t="s">
        <v>174</v>
      </c>
      <c r="P3" s="6" t="s">
        <v>45</v>
      </c>
    </row>
    <row r="4" spans="2:19" x14ac:dyDescent="0.25">
      <c r="B4" s="8" t="s">
        <v>23</v>
      </c>
      <c r="C4" s="10"/>
      <c r="D4" s="10"/>
      <c r="E4" s="6"/>
      <c r="F4" s="2"/>
      <c r="G4" s="2"/>
      <c r="I4" s="1" t="s">
        <v>99</v>
      </c>
      <c r="K4" s="26">
        <f>+(IS!D9-IS!C9)/IS!C9</f>
        <v>0.27130670248817274</v>
      </c>
      <c r="L4" s="26"/>
      <c r="M4" s="1" t="s">
        <v>59</v>
      </c>
      <c r="N4" s="15">
        <v>358278000</v>
      </c>
      <c r="O4" s="15">
        <v>87360000</v>
      </c>
      <c r="P4" s="12">
        <f>+O4/N4</f>
        <v>0.24383300118902082</v>
      </c>
    </row>
    <row r="5" spans="2:19" x14ac:dyDescent="0.25">
      <c r="B5" s="4" t="s">
        <v>24</v>
      </c>
      <c r="D5" s="49">
        <f>+BS!H12/BS!H28</f>
        <v>0.83260071730088214</v>
      </c>
      <c r="E5" s="49">
        <f>+BS!I12/BS!I28</f>
        <v>1.096932930568959</v>
      </c>
      <c r="I5" s="1" t="s">
        <v>46</v>
      </c>
      <c r="K5" s="26">
        <f>+(IS!D15-IS!C15)/IS!C15</f>
        <v>0.52037570615764805</v>
      </c>
      <c r="L5" s="26"/>
      <c r="M5" s="1" t="s">
        <v>81</v>
      </c>
      <c r="N5" s="15">
        <v>196192000</v>
      </c>
      <c r="O5" s="15">
        <v>55749000</v>
      </c>
      <c r="P5" s="12">
        <f t="shared" ref="P5:P6" si="0">+O5/N5</f>
        <v>0.28415531724025445</v>
      </c>
    </row>
    <row r="6" spans="2:19" x14ac:dyDescent="0.25">
      <c r="B6" s="4" t="s">
        <v>36</v>
      </c>
      <c r="D6" s="19">
        <f>+BS!H7+BS!H8-BS!H24+((BS!H10+BS!H11+BS!H9)-(BS!H26+BS!H27))</f>
        <v>6143348</v>
      </c>
      <c r="E6" s="19">
        <f>+BS!I7+BS!I8-BS!I24+((BS!I10+BS!I11+BS!I9)-(BS!I26+BS!I27))</f>
        <v>24169833</v>
      </c>
      <c r="I6" s="1" t="s">
        <v>26</v>
      </c>
      <c r="K6" s="26">
        <f>+((E10-D10)/D10)</f>
        <v>5.1584877380081967E-2</v>
      </c>
      <c r="L6" s="26"/>
      <c r="M6" s="1" t="s">
        <v>66</v>
      </c>
      <c r="N6" s="15">
        <v>92099000</v>
      </c>
      <c r="O6" s="15">
        <v>23161000</v>
      </c>
      <c r="P6" s="12">
        <f t="shared" si="0"/>
        <v>0.25147938631255495</v>
      </c>
    </row>
    <row r="7" spans="2:19" x14ac:dyDescent="0.25">
      <c r="B7" s="4" t="s">
        <v>114</v>
      </c>
      <c r="D7" s="19"/>
      <c r="E7" s="19">
        <f>+E6-D6</f>
        <v>18026485</v>
      </c>
      <c r="F7" s="4"/>
      <c r="I7" s="1" t="s">
        <v>27</v>
      </c>
      <c r="K7" s="26">
        <f t="shared" ref="K7" si="1">+((E11-D11)/D11)</f>
        <v>-4.2814393991902802E-2</v>
      </c>
    </row>
    <row r="8" spans="2:19" x14ac:dyDescent="0.25">
      <c r="B8" s="11"/>
      <c r="I8" s="1" t="s">
        <v>28</v>
      </c>
      <c r="K8" s="26">
        <f t="shared" ref="K8" si="2">+((E12-D12)/D12)</f>
        <v>-0.18339191439156854</v>
      </c>
    </row>
    <row r="9" spans="2:19" x14ac:dyDescent="0.25">
      <c r="B9" s="7" t="s">
        <v>25</v>
      </c>
      <c r="C9" s="2"/>
      <c r="D9" s="6"/>
      <c r="E9" s="6"/>
      <c r="F9" s="2"/>
      <c r="G9" s="2"/>
      <c r="I9" s="1" t="s">
        <v>115</v>
      </c>
      <c r="K9" s="26">
        <f>+((E23-D23))/D23</f>
        <v>0.29356238998133577</v>
      </c>
    </row>
    <row r="10" spans="2:19" x14ac:dyDescent="0.25">
      <c r="B10" s="4" t="s">
        <v>26</v>
      </c>
      <c r="C10" s="26"/>
      <c r="D10" s="26">
        <f>+IS!C11/IS!C9</f>
        <v>0.19701207058711359</v>
      </c>
      <c r="E10" s="26">
        <f>+IS!D11/IS!D9</f>
        <v>0.2071749140907459</v>
      </c>
      <c r="I10" s="1" t="s">
        <v>116</v>
      </c>
      <c r="K10" s="26">
        <f>+(E24-D24)/D24</f>
        <v>2.0946974402467124</v>
      </c>
    </row>
    <row r="11" spans="2:19" x14ac:dyDescent="0.25">
      <c r="B11" s="4" t="s">
        <v>27</v>
      </c>
      <c r="C11" s="26"/>
      <c r="D11" s="26">
        <f>+IS!C16/IS!C9</f>
        <v>0.11910906364905774</v>
      </c>
      <c r="E11" s="26">
        <f>+IS!D16/IS!D9</f>
        <v>0.11400948126998035</v>
      </c>
      <c r="I11" s="1" t="s">
        <v>117</v>
      </c>
      <c r="K11" s="26">
        <f>+(E25-D25)/D25</f>
        <v>2.3144362643613744E-2</v>
      </c>
    </row>
    <row r="12" spans="2:19" x14ac:dyDescent="0.25">
      <c r="B12" s="4" t="s">
        <v>28</v>
      </c>
      <c r="C12" s="26"/>
      <c r="D12" s="26">
        <f>+IS!C24/IS!C9</f>
        <v>8.297831098387573E-2</v>
      </c>
      <c r="E12" s="26">
        <f>+IS!D24/IS!D9</f>
        <v>6.7760759679563839E-2</v>
      </c>
      <c r="M12" s="89">
        <v>2024</v>
      </c>
      <c r="N12" s="92"/>
      <c r="O12" s="91">
        <v>2023</v>
      </c>
      <c r="P12" s="89"/>
      <c r="Q12" s="92"/>
    </row>
    <row r="13" spans="2:19" hidden="1" x14ac:dyDescent="0.25">
      <c r="B13" s="4" t="s">
        <v>29</v>
      </c>
      <c r="C13" s="26"/>
      <c r="D13" s="26"/>
      <c r="E13" s="26">
        <f>+IS!D24/BS!I36</f>
        <v>0.91450577837366964</v>
      </c>
      <c r="F13" s="24"/>
    </row>
    <row r="14" spans="2:19" hidden="1" x14ac:dyDescent="0.25">
      <c r="B14" s="4" t="s">
        <v>120</v>
      </c>
      <c r="C14" s="26"/>
      <c r="D14" s="26">
        <f>+IS!C24/BS!H18</f>
        <v>0.17321439799805935</v>
      </c>
      <c r="E14" s="26">
        <f>+IS!D24/BS!I18</f>
        <v>0.15221127788972405</v>
      </c>
      <c r="F14" s="24"/>
    </row>
    <row r="15" spans="2:19" x14ac:dyDescent="0.25">
      <c r="B15" s="4" t="s">
        <v>124</v>
      </c>
      <c r="C15" s="26">
        <v>0.25</v>
      </c>
      <c r="D15" s="26"/>
      <c r="E15" s="26"/>
      <c r="F15" s="24"/>
      <c r="M15" s="6" t="s">
        <v>251</v>
      </c>
      <c r="N15" s="6" t="s">
        <v>155</v>
      </c>
      <c r="O15" s="6" t="s">
        <v>250</v>
      </c>
      <c r="P15" s="6" t="s">
        <v>253</v>
      </c>
      <c r="Q15" s="6" t="s">
        <v>151</v>
      </c>
      <c r="R15" s="6" t="s">
        <v>211</v>
      </c>
      <c r="S15" s="6" t="s">
        <v>252</v>
      </c>
    </row>
    <row r="16" spans="2:19" x14ac:dyDescent="0.25">
      <c r="B16" s="4" t="s">
        <v>219</v>
      </c>
      <c r="C16" s="26"/>
      <c r="D16" s="15">
        <f>+(1-$C$15)*IS!C16</f>
        <v>22147502.25</v>
      </c>
      <c r="E16" s="15">
        <f>+(1-$C$15)*IS!D16</f>
        <v>26950774.5</v>
      </c>
      <c r="M16" s="1" t="s">
        <v>59</v>
      </c>
      <c r="N16" s="58">
        <v>264622000</v>
      </c>
      <c r="O16" s="15">
        <f t="shared" ref="O16:O21" si="3">N16*(1-P4)</f>
        <v>200098423.55935892</v>
      </c>
      <c r="P16" s="15">
        <f>19641000+314996000</f>
        <v>334637000</v>
      </c>
      <c r="Q16" s="15">
        <v>623853000</v>
      </c>
      <c r="R16" s="15">
        <f>+Q16+P16</f>
        <v>958490000</v>
      </c>
      <c r="S16" s="26">
        <f>+O16/R16</f>
        <v>0.20876422660576419</v>
      </c>
    </row>
    <row r="17" spans="2:19" x14ac:dyDescent="0.25">
      <c r="B17" s="4" t="s">
        <v>187</v>
      </c>
      <c r="C17" s="26"/>
      <c r="D17" s="26"/>
      <c r="E17" s="26">
        <f>+E16/D42</f>
        <v>0.42999770695753309</v>
      </c>
      <c r="M17" s="1" t="s">
        <v>81</v>
      </c>
      <c r="N17" s="58">
        <v>207363000</v>
      </c>
      <c r="O17" s="15">
        <f t="shared" si="3"/>
        <v>148439700.95110911</v>
      </c>
      <c r="P17" s="15">
        <f>614781000+39932000</f>
        <v>654713000</v>
      </c>
      <c r="Q17" s="15">
        <v>1026966000</v>
      </c>
      <c r="R17" s="15">
        <f>+P17+Q17</f>
        <v>1681679000</v>
      </c>
      <c r="S17" s="26">
        <f>+O17/R17</f>
        <v>8.8268748644128342E-2</v>
      </c>
    </row>
    <row r="18" spans="2:19" hidden="1" x14ac:dyDescent="0.25">
      <c r="B18" s="4" t="s">
        <v>189</v>
      </c>
      <c r="C18" s="64">
        <f>+ABS(J2)</f>
        <v>4.5616213267008758E-2</v>
      </c>
      <c r="D18" s="26"/>
      <c r="E18" s="26"/>
      <c r="O18" s="15">
        <f t="shared" si="3"/>
        <v>0</v>
      </c>
      <c r="R18" s="15"/>
    </row>
    <row r="19" spans="2:19" hidden="1" x14ac:dyDescent="0.25">
      <c r="B19" s="4" t="s">
        <v>219</v>
      </c>
      <c r="C19" s="26"/>
      <c r="D19" s="15">
        <f>+(1-$C$18)*IS!D16</f>
        <v>34295176.296929255</v>
      </c>
      <c r="E19" s="15">
        <f>+(1-C18)*IS!D16</f>
        <v>34295176.296929255</v>
      </c>
      <c r="O19" s="15">
        <f t="shared" si="3"/>
        <v>0</v>
      </c>
      <c r="R19" s="15"/>
    </row>
    <row r="20" spans="2:19" hidden="1" x14ac:dyDescent="0.25">
      <c r="B20" s="4" t="s">
        <v>188</v>
      </c>
      <c r="C20" s="26"/>
      <c r="D20" s="15"/>
      <c r="E20" s="26">
        <f>+E19/D42</f>
        <v>0.54717711980351147</v>
      </c>
      <c r="O20" s="15">
        <f t="shared" si="3"/>
        <v>0</v>
      </c>
      <c r="R20" s="15"/>
    </row>
    <row r="21" spans="2:19" x14ac:dyDescent="0.25">
      <c r="C21" s="26"/>
      <c r="D21" s="26"/>
      <c r="M21" s="1" t="s">
        <v>66</v>
      </c>
      <c r="N21" s="58">
        <v>111240000</v>
      </c>
      <c r="O21" s="15">
        <f t="shared" si="3"/>
        <v>111240000</v>
      </c>
      <c r="P21" s="15">
        <f>360740000+15000000</f>
        <v>375740000</v>
      </c>
      <c r="Q21" s="15">
        <v>516574000</v>
      </c>
      <c r="R21" s="15">
        <f>+P21+Q21</f>
        <v>892314000</v>
      </c>
      <c r="S21" s="26">
        <f>+O21/R21</f>
        <v>0.12466463599136626</v>
      </c>
    </row>
    <row r="22" spans="2:19" x14ac:dyDescent="0.25">
      <c r="B22" s="7" t="s">
        <v>41</v>
      </c>
      <c r="C22" s="2"/>
      <c r="D22" s="2"/>
      <c r="E22" s="2"/>
      <c r="F22" s="2"/>
      <c r="G22" s="2"/>
      <c r="M22" s="2" t="s">
        <v>135</v>
      </c>
      <c r="N22" s="76">
        <f>+IS!D16</f>
        <v>35934366</v>
      </c>
      <c r="O22" s="18">
        <f>N22*(1-C15)</f>
        <v>26950774.5</v>
      </c>
      <c r="P22" s="18">
        <f>+E45</f>
        <v>58171316</v>
      </c>
      <c r="Q22" s="18">
        <f>+E46</f>
        <v>23353976</v>
      </c>
      <c r="R22" s="18">
        <f>+D42</f>
        <v>62676554</v>
      </c>
      <c r="S22" s="77">
        <f>+O22/R22</f>
        <v>0.42999770695753309</v>
      </c>
    </row>
    <row r="23" spans="2:19" x14ac:dyDescent="0.25">
      <c r="B23" s="4" t="s">
        <v>115</v>
      </c>
      <c r="C23" s="26"/>
      <c r="D23" s="26">
        <f>+IS!C12/IS!C9</f>
        <v>2.6212695618819379E-2</v>
      </c>
      <c r="E23" s="26">
        <f>+IS!D12/IS!D9</f>
        <v>3.3907757192533285E-2</v>
      </c>
      <c r="M23" s="2"/>
      <c r="N23" s="76"/>
      <c r="O23" s="18"/>
      <c r="P23" s="18"/>
      <c r="Q23" s="79" t="s">
        <v>257</v>
      </c>
      <c r="R23" s="78"/>
      <c r="S23" s="77">
        <f>+AVERAGE(S16:S21)</f>
        <v>0.14056587041375293</v>
      </c>
    </row>
    <row r="24" spans="2:19" x14ac:dyDescent="0.25">
      <c r="B24" s="4" t="s">
        <v>116</v>
      </c>
      <c r="C24" s="26"/>
      <c r="D24" s="26">
        <f>+D6/IS!C9</f>
        <v>2.4779151832470574E-2</v>
      </c>
      <c r="E24" s="26">
        <f>+E6/IS!D9</f>
        <v>7.6683977747431326E-2</v>
      </c>
      <c r="M24" s="4" t="s">
        <v>256</v>
      </c>
    </row>
    <row r="25" spans="2:19" x14ac:dyDescent="0.25">
      <c r="B25" s="4" t="s">
        <v>117</v>
      </c>
      <c r="C25" s="26"/>
      <c r="D25" s="26">
        <f>+D42/IS!C9</f>
        <v>0.25280544873935856</v>
      </c>
      <c r="E25" s="26">
        <f>+E42/IS!D9</f>
        <v>0.25865646972326378</v>
      </c>
    </row>
    <row r="26" spans="2:19" x14ac:dyDescent="0.25">
      <c r="B26" s="4" t="s">
        <v>208</v>
      </c>
      <c r="C26" s="26"/>
      <c r="D26" s="26">
        <f>+IS!C10/IS!C9</f>
        <v>0.80298792941288644</v>
      </c>
      <c r="E26" s="26">
        <f>+IS!D10/IS!D9</f>
        <v>0.79282508590925405</v>
      </c>
    </row>
    <row r="27" spans="2:19" x14ac:dyDescent="0.25">
      <c r="B27" s="4" t="s">
        <v>209</v>
      </c>
      <c r="C27" s="26"/>
      <c r="D27" s="26">
        <f>+IS!C13/IS!C9</f>
        <v>5.3166243084681944E-2</v>
      </c>
      <c r="E27" s="26">
        <f>+IS!D13/IS!D9</f>
        <v>5.9214736111238772E-2</v>
      </c>
    </row>
    <row r="28" spans="2:19" x14ac:dyDescent="0.25">
      <c r="B28" s="4" t="s">
        <v>207</v>
      </c>
      <c r="C28" s="26"/>
      <c r="D28" s="26">
        <f>+BS!H13/IS!C9</f>
        <v>0.17683149618276464</v>
      </c>
      <c r="E28" s="26">
        <f>+BS!I13/IS!D9</f>
        <v>0.15795169975684603</v>
      </c>
    </row>
    <row r="29" spans="2:19" hidden="1" x14ac:dyDescent="0.25">
      <c r="B29" s="4" t="s">
        <v>264</v>
      </c>
      <c r="C29" s="26"/>
      <c r="D29" s="26">
        <f>+(IS!C16+IS!C13)/IS!C9</f>
        <v>0.17227530673373967</v>
      </c>
      <c r="E29" s="26">
        <f>+(IS!D16+IS!D13)/IS!D9</f>
        <v>0.17322421738121913</v>
      </c>
    </row>
    <row r="30" spans="2:19" x14ac:dyDescent="0.25">
      <c r="B30" s="4" t="s">
        <v>231</v>
      </c>
      <c r="C30" s="26"/>
      <c r="D30" s="26">
        <f>+IS!C16/IS!C9</f>
        <v>0.11910906364905774</v>
      </c>
      <c r="E30" s="26">
        <f>+IS!D16/IS!D9</f>
        <v>0.11400948126998035</v>
      </c>
    </row>
    <row r="32" spans="2:19" x14ac:dyDescent="0.25">
      <c r="B32" s="7" t="s">
        <v>42</v>
      </c>
      <c r="C32" s="2"/>
      <c r="D32" s="2"/>
      <c r="E32" s="2"/>
      <c r="F32" s="2"/>
      <c r="G32" s="2"/>
    </row>
    <row r="33" spans="2:9" hidden="1" x14ac:dyDescent="0.25">
      <c r="B33" s="4" t="s">
        <v>122</v>
      </c>
      <c r="D33" s="26">
        <f>+D45/D46</f>
        <v>7.3910410670863671</v>
      </c>
      <c r="E33" s="26">
        <f>+E45/E46</f>
        <v>2.4908527781307988</v>
      </c>
    </row>
    <row r="34" spans="2:9" x14ac:dyDescent="0.25">
      <c r="B34" s="4" t="s">
        <v>138</v>
      </c>
      <c r="D34" s="52">
        <f>+D45-BS!H7</f>
        <v>47986477</v>
      </c>
      <c r="E34" s="52">
        <f>+E45-BS!I7</f>
        <v>37254208</v>
      </c>
    </row>
    <row r="35" spans="2:9" x14ac:dyDescent="0.25">
      <c r="B35" s="4" t="s">
        <v>140</v>
      </c>
      <c r="D35" s="52">
        <f>+IS!C16+IS!C13</f>
        <v>42711194</v>
      </c>
      <c r="E35" s="52">
        <f>+IS!D16+IS!D13</f>
        <v>54598112</v>
      </c>
    </row>
    <row r="36" spans="2:9" hidden="1" x14ac:dyDescent="0.25">
      <c r="B36" s="4" t="s">
        <v>139</v>
      </c>
      <c r="D36" s="26">
        <f>+D34/D35</f>
        <v>1.1235105485461259</v>
      </c>
      <c r="E36" s="26">
        <f>+E34/E35</f>
        <v>0.68233509612933141</v>
      </c>
    </row>
    <row r="38" spans="2:9" x14ac:dyDescent="0.25">
      <c r="B38" s="5" t="s">
        <v>34</v>
      </c>
      <c r="H38" s="90" t="s">
        <v>254</v>
      </c>
      <c r="I38" s="90"/>
    </row>
    <row r="39" spans="2:9" x14ac:dyDescent="0.25">
      <c r="B39" s="7" t="s">
        <v>35</v>
      </c>
      <c r="C39" s="2"/>
      <c r="D39" s="6">
        <v>2023</v>
      </c>
      <c r="E39" s="6">
        <v>2024</v>
      </c>
      <c r="F39" s="6" t="s">
        <v>123</v>
      </c>
      <c r="G39" s="6" t="s">
        <v>127</v>
      </c>
      <c r="H39" s="6">
        <v>2023</v>
      </c>
      <c r="I39" s="6">
        <v>2024</v>
      </c>
    </row>
    <row r="40" spans="2:9" x14ac:dyDescent="0.25">
      <c r="B40" s="4" t="s">
        <v>36</v>
      </c>
      <c r="D40" s="15">
        <f>+D45+D46-D41</f>
        <v>18835771</v>
      </c>
      <c r="E40" s="15">
        <f>+E45+E46-E41</f>
        <v>31740887</v>
      </c>
      <c r="F40" s="24">
        <f>+E40-D40</f>
        <v>12905116</v>
      </c>
      <c r="G40" s="26">
        <f>+(E40-D40)/D40</f>
        <v>0.68513871823988515</v>
      </c>
      <c r="H40" s="26">
        <f>+D40/D42</f>
        <v>0.30052339827106639</v>
      </c>
      <c r="I40" s="26">
        <f>+E40/E42</f>
        <v>0.38933791246034422</v>
      </c>
    </row>
    <row r="41" spans="2:9" x14ac:dyDescent="0.25">
      <c r="B41" s="6" t="s">
        <v>37</v>
      </c>
      <c r="C41" s="2"/>
      <c r="D41" s="28">
        <f>+BS!H13</f>
        <v>43840783</v>
      </c>
      <c r="E41" s="28">
        <f>+BS!I13</f>
        <v>49784405</v>
      </c>
      <c r="F41" s="48">
        <f>+E41-D41</f>
        <v>5943622</v>
      </c>
      <c r="G41" s="26">
        <f t="shared" ref="G41:G42" si="4">+(E41-D41)/D41</f>
        <v>0.13557289795668112</v>
      </c>
      <c r="H41" s="26">
        <f>+D41/D42</f>
        <v>0.69947660172893356</v>
      </c>
      <c r="I41" s="26">
        <f>+E41/E42</f>
        <v>0.61066208753965578</v>
      </c>
    </row>
    <row r="42" spans="2:9" x14ac:dyDescent="0.25">
      <c r="B42" s="4" t="s">
        <v>38</v>
      </c>
      <c r="C42" s="4"/>
      <c r="D42" s="29">
        <f>SUM(D40:D41)</f>
        <v>62676554</v>
      </c>
      <c r="E42" s="29">
        <f>SUM(E40:E41)</f>
        <v>81525292</v>
      </c>
      <c r="F42" s="29">
        <f>+E42-D42</f>
        <v>18848738</v>
      </c>
      <c r="G42" s="26">
        <f t="shared" si="4"/>
        <v>0.30073028584181577</v>
      </c>
      <c r="H42" s="26">
        <f>SUM(H40:H41)</f>
        <v>1</v>
      </c>
      <c r="I42" s="26">
        <f>SUM(I40:I41)</f>
        <v>1</v>
      </c>
    </row>
    <row r="44" spans="2:9" x14ac:dyDescent="0.25">
      <c r="B44" s="7" t="s">
        <v>39</v>
      </c>
      <c r="C44" s="2"/>
      <c r="D44" s="2"/>
      <c r="E44" s="2"/>
    </row>
    <row r="45" spans="2:9" x14ac:dyDescent="0.25">
      <c r="B45" s="4" t="s">
        <v>119</v>
      </c>
      <c r="D45" s="15">
        <f>+BS!H21+BS!H29+BS!H22+BS!H30+BS!H23+BS!H31</f>
        <v>55207093</v>
      </c>
      <c r="E45" s="15">
        <f>+BS!I21+BS!I29+BS!I22+BS!I30</f>
        <v>58171316</v>
      </c>
      <c r="F45" s="24">
        <f>+E45-D45</f>
        <v>2964223</v>
      </c>
      <c r="G45" s="26">
        <f>+(E45-D45)/D45</f>
        <v>5.3692792699662706E-2</v>
      </c>
      <c r="H45" s="26">
        <f>+D45/D47</f>
        <v>0.88082527638644592</v>
      </c>
      <c r="I45" s="26">
        <f>+E45/E47</f>
        <v>0.71353704565694775</v>
      </c>
    </row>
    <row r="46" spans="2:9" x14ac:dyDescent="0.25">
      <c r="B46" s="6" t="s">
        <v>118</v>
      </c>
      <c r="C46" s="2"/>
      <c r="D46" s="18">
        <f>+BS!H36</f>
        <v>7469461</v>
      </c>
      <c r="E46" s="18">
        <f>+BS!I36</f>
        <v>23353976</v>
      </c>
      <c r="F46" s="24">
        <f>+E46-D46</f>
        <v>15884515</v>
      </c>
      <c r="G46" s="26">
        <f t="shared" ref="G46:G47" si="5">+(E46-D46)/D46</f>
        <v>2.1265945427655355</v>
      </c>
      <c r="H46" s="26">
        <f>+D46/D47</f>
        <v>0.11917472361355412</v>
      </c>
      <c r="I46" s="26">
        <f>+E46/E47</f>
        <v>0.28646295434305219</v>
      </c>
    </row>
    <row r="47" spans="2:9" x14ac:dyDescent="0.25">
      <c r="B47" s="4" t="s">
        <v>40</v>
      </c>
      <c r="C47" s="4"/>
      <c r="D47" s="23">
        <f>SUM(D45:D46)</f>
        <v>62676554</v>
      </c>
      <c r="E47" s="23">
        <f>SUM(E45:E46)</f>
        <v>81525292</v>
      </c>
      <c r="F47" s="29">
        <f>+E47-D47</f>
        <v>18848738</v>
      </c>
      <c r="G47" s="26">
        <f t="shared" si="5"/>
        <v>0.30073028584181577</v>
      </c>
      <c r="H47" s="26">
        <f>SUM(H45:H46)</f>
        <v>1</v>
      </c>
      <c r="I47" s="26">
        <f>SUM(I45:I46)</f>
        <v>1</v>
      </c>
    </row>
    <row r="48" spans="2:9" x14ac:dyDescent="0.25">
      <c r="C48" s="4"/>
      <c r="D48" s="4"/>
      <c r="E48" s="23"/>
      <c r="F48" s="23"/>
    </row>
    <row r="49" spans="2:10" hidden="1" x14ac:dyDescent="0.25">
      <c r="B49" s="7" t="s">
        <v>30</v>
      </c>
      <c r="C49" s="2"/>
      <c r="D49" s="2"/>
      <c r="E49" s="6">
        <v>2023</v>
      </c>
      <c r="F49" s="6">
        <v>2024</v>
      </c>
      <c r="J49" s="3"/>
    </row>
    <row r="50" spans="2:10" hidden="1" x14ac:dyDescent="0.25">
      <c r="B50" s="4" t="s">
        <v>31</v>
      </c>
      <c r="C50" s="27"/>
      <c r="D50" s="3"/>
      <c r="E50" s="3">
        <f>+BS!H8/(IS!C9/365)</f>
        <v>50.188001053370925</v>
      </c>
      <c r="F50" s="3">
        <f>+BS!I8/(IS!D9/365)</f>
        <v>44.358539551072269</v>
      </c>
    </row>
    <row r="51" spans="2:10" hidden="1" x14ac:dyDescent="0.25">
      <c r="B51" s="4" t="s">
        <v>32</v>
      </c>
      <c r="C51" s="27"/>
      <c r="D51" s="3"/>
      <c r="E51" s="3">
        <f>+BS!H24/(IS!C10/365)</f>
        <v>75.682975108050769</v>
      </c>
      <c r="F51" s="3">
        <f>+BS!I24/(IS!D10/365)</f>
        <v>55.912724581345906</v>
      </c>
    </row>
    <row r="52" spans="2:10" hidden="1" x14ac:dyDescent="0.25">
      <c r="B52" s="4" t="s">
        <v>33</v>
      </c>
      <c r="C52" s="27"/>
      <c r="D52" s="3"/>
      <c r="E52" s="3">
        <f>+BS!H7/(IS!C9-IS!C24-IS!C13/365)</f>
        <v>3.1764714090714144E-2</v>
      </c>
      <c r="F52" s="3">
        <f>+BS!I7/(IS!D9-IS!D24-IS!D13/365)</f>
        <v>7.1200136518957569E-2</v>
      </c>
    </row>
    <row r="53" spans="2:10" x14ac:dyDescent="0.25">
      <c r="C53" s="27"/>
      <c r="D53" s="3"/>
      <c r="E53" s="3"/>
    </row>
    <row r="54" spans="2:10" x14ac:dyDescent="0.25">
      <c r="C54" s="27"/>
      <c r="D54" s="3"/>
      <c r="E54" s="3"/>
    </row>
    <row r="55" spans="2:10" x14ac:dyDescent="0.25">
      <c r="E55" s="4"/>
    </row>
    <row r="65" spans="2:5" x14ac:dyDescent="0.25">
      <c r="B65" s="4"/>
      <c r="C65" s="4"/>
      <c r="D65" s="23"/>
      <c r="E65" s="23"/>
    </row>
  </sheetData>
  <mergeCells count="4">
    <mergeCell ref="F3:G3"/>
    <mergeCell ref="H38:I38"/>
    <mergeCell ref="O12:Q12"/>
    <mergeCell ref="M12:N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9375-C82B-4CFB-A201-7004A2CF521E}">
  <dimension ref="B2:L53"/>
  <sheetViews>
    <sheetView zoomScale="85" zoomScaleNormal="85" workbookViewId="0"/>
  </sheetViews>
  <sheetFormatPr defaultRowHeight="15" x14ac:dyDescent="0.25"/>
  <cols>
    <col min="1" max="1" width="3" style="1" customWidth="1"/>
    <col min="2" max="3" width="9.140625" style="1"/>
    <col min="4" max="4" width="19.42578125" style="1" customWidth="1"/>
    <col min="5" max="5" width="29.28515625" style="1" customWidth="1"/>
    <col min="6" max="6" width="22.5703125" style="1" customWidth="1"/>
    <col min="7" max="7" width="29.85546875" style="1" customWidth="1"/>
    <col min="8" max="8" width="25.7109375" style="1" bestFit="1" customWidth="1"/>
    <col min="9" max="9" width="18" style="1" bestFit="1" customWidth="1"/>
    <col min="10" max="10" width="21.140625" style="1" bestFit="1" customWidth="1"/>
    <col min="11" max="11" width="21.140625" style="1" customWidth="1"/>
    <col min="12" max="12" width="18" style="1" bestFit="1" customWidth="1"/>
    <col min="13" max="16384" width="9.140625" style="1"/>
  </cols>
  <sheetData>
    <row r="2" spans="2:9" x14ac:dyDescent="0.25">
      <c r="B2" s="4" t="s">
        <v>143</v>
      </c>
    </row>
    <row r="4" spans="2:9" x14ac:dyDescent="0.25">
      <c r="D4" s="89" t="s">
        <v>137</v>
      </c>
      <c r="E4" s="89"/>
      <c r="F4" s="89"/>
      <c r="G4" s="89"/>
      <c r="H4" s="89"/>
    </row>
    <row r="5" spans="2:9" x14ac:dyDescent="0.25">
      <c r="D5" s="9" t="s">
        <v>50</v>
      </c>
      <c r="E5" s="9" t="s">
        <v>136</v>
      </c>
      <c r="F5" s="9" t="s">
        <v>58</v>
      </c>
      <c r="G5" s="9" t="s">
        <v>82</v>
      </c>
      <c r="H5" s="9" t="s">
        <v>65</v>
      </c>
      <c r="I5" s="10"/>
    </row>
    <row r="6" spans="2:9" x14ac:dyDescent="0.25">
      <c r="D6" s="7" t="s">
        <v>51</v>
      </c>
      <c r="E6" s="6" t="s">
        <v>135</v>
      </c>
      <c r="F6" s="6" t="s">
        <v>59</v>
      </c>
      <c r="G6" s="6" t="s">
        <v>81</v>
      </c>
      <c r="H6" s="6" t="s">
        <v>66</v>
      </c>
      <c r="I6" s="6" t="s">
        <v>157</v>
      </c>
    </row>
    <row r="7" spans="2:9" x14ac:dyDescent="0.25">
      <c r="D7" s="5" t="s">
        <v>133</v>
      </c>
    </row>
    <row r="8" spans="2:9" x14ac:dyDescent="0.25">
      <c r="D8" s="1" t="s">
        <v>99</v>
      </c>
      <c r="E8" s="24">
        <f>+IS!D9</f>
        <v>315187523</v>
      </c>
      <c r="F8" s="19">
        <f>+E28</f>
        <v>2115756000</v>
      </c>
      <c r="G8" s="24">
        <f>+D37</f>
        <v>3509138000</v>
      </c>
      <c r="H8" s="19">
        <f>+D46</f>
        <v>1563548000</v>
      </c>
      <c r="I8" s="24">
        <f>+AVERAGE(E8:H8)</f>
        <v>1875907380.75</v>
      </c>
    </row>
    <row r="9" spans="2:9" x14ac:dyDescent="0.25">
      <c r="D9" s="1" t="s">
        <v>128</v>
      </c>
      <c r="E9" s="31">
        <f>+'Análisis Financiero'!K4</f>
        <v>0.27130670248817274</v>
      </c>
      <c r="F9" s="56">
        <f>+F28</f>
        <v>7.2774003424551606E-2</v>
      </c>
      <c r="G9" s="56">
        <f>+H38</f>
        <v>0.14203944102511784</v>
      </c>
      <c r="H9" s="56">
        <f>+H47</f>
        <v>0.16650656071959416</v>
      </c>
      <c r="I9" s="63">
        <f t="shared" ref="I9:I23" si="0">+AVERAGE(E9:H9)</f>
        <v>0.16315667691435909</v>
      </c>
    </row>
    <row r="10" spans="2:9" x14ac:dyDescent="0.25">
      <c r="D10" s="1" t="s">
        <v>129</v>
      </c>
      <c r="E10" s="24">
        <f>+IS!D24</f>
        <v>21357346</v>
      </c>
      <c r="F10" s="24">
        <f>+E29</f>
        <v>257461000</v>
      </c>
      <c r="G10" s="24">
        <f>+E38</f>
        <v>126346000</v>
      </c>
      <c r="H10" s="24">
        <f>+E47</f>
        <v>68935000</v>
      </c>
      <c r="I10" s="24">
        <f t="shared" si="0"/>
        <v>118524836.5</v>
      </c>
    </row>
    <row r="11" spans="2:9" x14ac:dyDescent="0.25">
      <c r="D11" s="5" t="s">
        <v>210</v>
      </c>
      <c r="E11" s="24"/>
      <c r="I11" s="24"/>
    </row>
    <row r="12" spans="2:9" hidden="1" x14ac:dyDescent="0.25">
      <c r="D12" s="1" t="s">
        <v>46</v>
      </c>
      <c r="E12" s="24">
        <f>+IS!D12</f>
        <v>10687302</v>
      </c>
      <c r="F12" s="24">
        <f>+E31</f>
        <v>118424000</v>
      </c>
      <c r="G12" s="24">
        <f>+E40</f>
        <v>334162000</v>
      </c>
      <c r="H12" s="24">
        <f>+E49</f>
        <v>147607000</v>
      </c>
      <c r="I12" s="24">
        <f t="shared" si="0"/>
        <v>152720075.5</v>
      </c>
    </row>
    <row r="13" spans="2:9" x14ac:dyDescent="0.25">
      <c r="D13" s="1" t="s">
        <v>115</v>
      </c>
      <c r="E13" s="31">
        <f>+'Análisis Financiero'!E23</f>
        <v>3.3907757192533285E-2</v>
      </c>
      <c r="F13" s="31">
        <f>+E32</f>
        <v>5.5972427822489929E-2</v>
      </c>
      <c r="G13" s="63">
        <f>+E41</f>
        <v>8.3382615018462544E-2</v>
      </c>
      <c r="H13" s="63">
        <f>+E50</f>
        <v>8.0929815356088008E-2</v>
      </c>
      <c r="I13" s="63">
        <f t="shared" si="0"/>
        <v>6.3548153847393443E-2</v>
      </c>
    </row>
    <row r="14" spans="2:9" hidden="1" x14ac:dyDescent="0.25">
      <c r="D14" s="1" t="s">
        <v>36</v>
      </c>
      <c r="E14" s="19">
        <f>+'Análisis Financiero'!E6</f>
        <v>24169833</v>
      </c>
      <c r="F14" s="19">
        <v>279922000</v>
      </c>
      <c r="G14" s="19">
        <v>684704000</v>
      </c>
      <c r="H14" s="19">
        <v>204552000</v>
      </c>
      <c r="I14" s="19">
        <f t="shared" si="0"/>
        <v>298336958.25</v>
      </c>
    </row>
    <row r="15" spans="2:9" x14ac:dyDescent="0.25">
      <c r="D15" s="1" t="s">
        <v>116</v>
      </c>
      <c r="E15" s="31">
        <f>+E14/E8</f>
        <v>7.6683977747431326E-2</v>
      </c>
      <c r="F15" s="31">
        <f>+F14/F8</f>
        <v>0.13230353594648911</v>
      </c>
      <c r="G15" s="31">
        <f>+G14/G8</f>
        <v>0.1951202831008641</v>
      </c>
      <c r="H15" s="31">
        <f>+H14/H8</f>
        <v>0.13082553269870834</v>
      </c>
      <c r="I15" s="63">
        <f t="shared" si="0"/>
        <v>0.1337333323733732</v>
      </c>
    </row>
    <row r="16" spans="2:9" hidden="1" x14ac:dyDescent="0.25">
      <c r="D16" s="1" t="s">
        <v>211</v>
      </c>
      <c r="E16" s="19">
        <f>+'Análisis Financiero'!E42</f>
        <v>81525292</v>
      </c>
      <c r="F16" s="19">
        <v>1124402000</v>
      </c>
      <c r="G16" s="19">
        <v>1754274000</v>
      </c>
      <c r="H16" s="19">
        <v>1087264000</v>
      </c>
      <c r="I16" s="19">
        <f t="shared" si="0"/>
        <v>1011866323</v>
      </c>
    </row>
    <row r="17" spans="2:12" x14ac:dyDescent="0.25">
      <c r="D17" s="1" t="s">
        <v>117</v>
      </c>
      <c r="E17" s="31">
        <f>+E16/E8</f>
        <v>0.25865646972326378</v>
      </c>
      <c r="F17" s="31">
        <f>+F16/F8</f>
        <v>0.53144218898587547</v>
      </c>
      <c r="G17" s="31">
        <f>+G16/G8</f>
        <v>0.49991593377062971</v>
      </c>
      <c r="H17" s="31">
        <f>+H16/H8</f>
        <v>0.69538255301404239</v>
      </c>
      <c r="I17" s="63">
        <f t="shared" si="0"/>
        <v>0.49634928637345288</v>
      </c>
    </row>
    <row r="18" spans="2:12" x14ac:dyDescent="0.25">
      <c r="D18" s="5" t="s">
        <v>134</v>
      </c>
      <c r="I18" s="63"/>
    </row>
    <row r="19" spans="2:12" x14ac:dyDescent="0.25">
      <c r="D19" s="1" t="s">
        <v>130</v>
      </c>
      <c r="E19" s="31">
        <f>+'Análisis Financiero'!E10</f>
        <v>0.2071749140907459</v>
      </c>
      <c r="F19" s="31">
        <f>+H30</f>
        <v>0.2014046043116503</v>
      </c>
      <c r="G19" s="31">
        <f>+H39</f>
        <v>0.14290366191616174</v>
      </c>
      <c r="H19" s="31">
        <f>+H48</f>
        <v>0.14159523962258669</v>
      </c>
      <c r="I19" s="63">
        <f t="shared" si="0"/>
        <v>0.17326960498528615</v>
      </c>
    </row>
    <row r="20" spans="2:12" x14ac:dyDescent="0.25">
      <c r="D20" s="1" t="s">
        <v>131</v>
      </c>
      <c r="E20" s="31">
        <f>+'Análisis Financiero'!E11</f>
        <v>0.11400948126998035</v>
      </c>
      <c r="F20" s="31">
        <f t="shared" ref="F20:F21" si="1">+H31</f>
        <v>0.12527106150236605</v>
      </c>
      <c r="G20" s="31">
        <f t="shared" ref="G20:G21" si="2">+H40</f>
        <v>4.9555915873293915E-2</v>
      </c>
      <c r="H20" s="31">
        <f t="shared" ref="H20:H21" si="3">+H49</f>
        <v>6.0665424266498673E-2</v>
      </c>
      <c r="I20" s="63">
        <f t="shared" si="0"/>
        <v>8.7375470728034754E-2</v>
      </c>
    </row>
    <row r="21" spans="2:12" x14ac:dyDescent="0.25">
      <c r="D21" s="1" t="s">
        <v>132</v>
      </c>
      <c r="E21" s="31">
        <f>+'Análisis Financiero'!E12</f>
        <v>6.7760759679563839E-2</v>
      </c>
      <c r="F21" s="31">
        <f t="shared" si="1"/>
        <v>0.12168747246846989</v>
      </c>
      <c r="G21" s="31">
        <f t="shared" si="2"/>
        <v>3.152680399663238E-2</v>
      </c>
      <c r="H21" s="31">
        <f t="shared" si="3"/>
        <v>3.7795611465390712E-2</v>
      </c>
      <c r="I21" s="63">
        <f t="shared" si="0"/>
        <v>6.4692661902514215E-2</v>
      </c>
    </row>
    <row r="22" spans="2:12" x14ac:dyDescent="0.25">
      <c r="D22" s="5" t="s">
        <v>142</v>
      </c>
      <c r="E22" s="11"/>
      <c r="F22" s="11"/>
      <c r="G22" s="11"/>
      <c r="H22" s="11"/>
      <c r="I22" s="24"/>
    </row>
    <row r="23" spans="2:12" x14ac:dyDescent="0.25">
      <c r="D23" s="2" t="s">
        <v>24</v>
      </c>
      <c r="E23" s="69">
        <f>+'Análisis Financiero'!E5</f>
        <v>1.096932930568959</v>
      </c>
      <c r="F23" s="69">
        <f>+E34</f>
        <v>1.377274724445319</v>
      </c>
      <c r="G23" s="69">
        <f>+E43</f>
        <v>1.6634992281670105</v>
      </c>
      <c r="H23" s="69">
        <f>+E52</f>
        <v>1.5376523837310161</v>
      </c>
      <c r="I23" s="61">
        <f t="shared" si="0"/>
        <v>1.4188398167280762</v>
      </c>
    </row>
    <row r="26" spans="2:12" s="85" customFormat="1" x14ac:dyDescent="0.25"/>
    <row r="27" spans="2:12" x14ac:dyDescent="0.25">
      <c r="B27" s="4" t="s">
        <v>59</v>
      </c>
      <c r="D27" s="4">
        <v>2023</v>
      </c>
      <c r="E27" s="4">
        <v>2024</v>
      </c>
      <c r="F27" s="32" t="s">
        <v>127</v>
      </c>
      <c r="G27" s="55" t="s">
        <v>59</v>
      </c>
      <c r="K27" s="4">
        <v>2023</v>
      </c>
      <c r="L27" s="4">
        <v>2024</v>
      </c>
    </row>
    <row r="28" spans="2:12" x14ac:dyDescent="0.25">
      <c r="B28" s="1" t="s">
        <v>99</v>
      </c>
      <c r="D28" s="15">
        <v>1972229000</v>
      </c>
      <c r="E28" s="15">
        <v>2115756000</v>
      </c>
      <c r="F28" s="30">
        <f>+(E28-D28)/D28</f>
        <v>7.2774003424551606E-2</v>
      </c>
      <c r="G28" s="13" t="s">
        <v>99</v>
      </c>
      <c r="H28" s="24">
        <f>+E28</f>
        <v>2115756000</v>
      </c>
      <c r="I28" s="15"/>
      <c r="J28" s="4" t="s">
        <v>8</v>
      </c>
      <c r="K28" s="15">
        <v>847979000</v>
      </c>
      <c r="L28" s="57">
        <v>1021880000</v>
      </c>
    </row>
    <row r="29" spans="2:12" x14ac:dyDescent="0.25">
      <c r="B29" s="1" t="s">
        <v>129</v>
      </c>
      <c r="D29" s="15">
        <v>138655000</v>
      </c>
      <c r="E29" s="15">
        <v>257461000</v>
      </c>
      <c r="F29" s="30">
        <f>+(E29-D29)/D29</f>
        <v>0.85684612888103562</v>
      </c>
      <c r="G29" s="13" t="s">
        <v>127</v>
      </c>
      <c r="H29" s="56">
        <f>+F28</f>
        <v>7.2774003424551606E-2</v>
      </c>
      <c r="I29" s="15"/>
      <c r="J29" s="4" t="s">
        <v>13</v>
      </c>
      <c r="K29" s="15">
        <v>678168000</v>
      </c>
      <c r="L29" s="57">
        <v>741958000</v>
      </c>
    </row>
    <row r="30" spans="2:12" x14ac:dyDescent="0.25">
      <c r="B30" s="1" t="s">
        <v>0</v>
      </c>
      <c r="D30" s="15">
        <v>337638000</v>
      </c>
      <c r="E30" s="15">
        <v>426123000</v>
      </c>
      <c r="F30" s="30">
        <f t="shared" ref="F30:F34" si="4">+(E30-D30)/D30</f>
        <v>0.26207062001315018</v>
      </c>
      <c r="G30" s="13" t="s">
        <v>130</v>
      </c>
      <c r="H30" s="26">
        <f>+E30/E28</f>
        <v>0.2014046043116503</v>
      </c>
    </row>
    <row r="31" spans="2:12" x14ac:dyDescent="0.25">
      <c r="B31" s="1" t="s">
        <v>46</v>
      </c>
      <c r="D31" s="15">
        <v>98703000</v>
      </c>
      <c r="E31" s="15">
        <v>118424000</v>
      </c>
      <c r="F31" s="30">
        <f t="shared" si="4"/>
        <v>0.19980142447544655</v>
      </c>
      <c r="G31" s="13" t="s">
        <v>131</v>
      </c>
      <c r="H31" s="26">
        <f>+E33/E28</f>
        <v>0.12527106150236605</v>
      </c>
    </row>
    <row r="32" spans="2:12" x14ac:dyDescent="0.25">
      <c r="B32" s="1" t="s">
        <v>115</v>
      </c>
      <c r="D32" s="26">
        <f>+D31/D28</f>
        <v>5.0046419558783486E-2</v>
      </c>
      <c r="E32" s="26">
        <f>+E31/E28</f>
        <v>5.5972427822489929E-2</v>
      </c>
      <c r="F32" s="30">
        <f t="shared" si="4"/>
        <v>0.11841023425753516</v>
      </c>
      <c r="G32" s="13" t="s">
        <v>132</v>
      </c>
      <c r="H32" s="26">
        <f>+E29/E28</f>
        <v>0.12168747246846989</v>
      </c>
    </row>
    <row r="33" spans="2:12" x14ac:dyDescent="0.25">
      <c r="B33" s="1" t="s">
        <v>1</v>
      </c>
      <c r="D33" s="15">
        <v>206668000</v>
      </c>
      <c r="E33" s="15">
        <v>265043000</v>
      </c>
      <c r="F33" s="30">
        <f t="shared" si="4"/>
        <v>0.28245785511061217</v>
      </c>
      <c r="G33" s="13"/>
      <c r="H33" s="26"/>
    </row>
    <row r="34" spans="2:12" x14ac:dyDescent="0.25">
      <c r="B34" s="1" t="s">
        <v>24</v>
      </c>
      <c r="D34" s="3">
        <f>+K28/K29</f>
        <v>1.2503966568755824</v>
      </c>
      <c r="E34" s="3">
        <f>+L28/L29</f>
        <v>1.377274724445319</v>
      </c>
      <c r="F34" s="30">
        <f t="shared" si="4"/>
        <v>0.10147025495635278</v>
      </c>
      <c r="G34" s="13"/>
    </row>
    <row r="35" spans="2:12" s="82" customFormat="1" ht="14.25" customHeight="1" x14ac:dyDescent="0.25"/>
    <row r="36" spans="2:12" x14ac:dyDescent="0.25">
      <c r="B36" s="4" t="s">
        <v>81</v>
      </c>
      <c r="D36" s="4">
        <v>2023</v>
      </c>
      <c r="E36" s="4">
        <v>2024</v>
      </c>
      <c r="F36" s="32" t="s">
        <v>127</v>
      </c>
      <c r="G36" s="55" t="s">
        <v>81</v>
      </c>
      <c r="K36" s="4">
        <v>2023</v>
      </c>
      <c r="L36" s="4">
        <v>2024</v>
      </c>
    </row>
    <row r="37" spans="2:12" x14ac:dyDescent="0.25">
      <c r="B37" s="1" t="s">
        <v>99</v>
      </c>
      <c r="D37" s="15">
        <v>3509138000</v>
      </c>
      <c r="E37" s="15">
        <v>4007574000</v>
      </c>
      <c r="F37" s="30">
        <f>+(E37-D37)/D37</f>
        <v>0.14203944102511784</v>
      </c>
      <c r="G37" s="13" t="s">
        <v>99</v>
      </c>
      <c r="H37" s="24">
        <f>+E37</f>
        <v>4007574000</v>
      </c>
      <c r="J37" s="4" t="s">
        <v>8</v>
      </c>
      <c r="K37" s="15">
        <v>1643451000</v>
      </c>
      <c r="L37" s="57">
        <v>1716663000</v>
      </c>
    </row>
    <row r="38" spans="2:12" x14ac:dyDescent="0.25">
      <c r="B38" s="1" t="s">
        <v>129</v>
      </c>
      <c r="D38" s="15">
        <v>43599000</v>
      </c>
      <c r="E38" s="15">
        <v>126346000</v>
      </c>
      <c r="F38" s="30">
        <f>+(E38-D38)/D38</f>
        <v>1.8979105025344618</v>
      </c>
      <c r="G38" s="13" t="s">
        <v>127</v>
      </c>
      <c r="H38" s="56">
        <f>+F37</f>
        <v>0.14203944102511784</v>
      </c>
      <c r="J38" s="4" t="s">
        <v>13</v>
      </c>
      <c r="K38" s="15">
        <v>1029883000</v>
      </c>
      <c r="L38" s="57">
        <v>1031959000</v>
      </c>
    </row>
    <row r="39" spans="2:12" x14ac:dyDescent="0.25">
      <c r="B39" s="1" t="s">
        <v>0</v>
      </c>
      <c r="D39" s="15">
        <v>396399000</v>
      </c>
      <c r="E39" s="15">
        <v>572697000</v>
      </c>
      <c r="F39" s="30">
        <f t="shared" ref="F39:F43" si="5">+(E39-D39)/D39</f>
        <v>0.44474885153595239</v>
      </c>
      <c r="G39" s="13" t="s">
        <v>130</v>
      </c>
      <c r="H39" s="26">
        <f>+E39/E37</f>
        <v>0.14290366191616174</v>
      </c>
    </row>
    <row r="40" spans="2:12" x14ac:dyDescent="0.25">
      <c r="B40" s="1" t="s">
        <v>46</v>
      </c>
      <c r="D40" s="15">
        <v>294466000</v>
      </c>
      <c r="E40" s="15">
        <v>334162000</v>
      </c>
      <c r="F40" s="30">
        <f t="shared" si="5"/>
        <v>0.13480673490318068</v>
      </c>
      <c r="G40" s="13" t="s">
        <v>131</v>
      </c>
      <c r="H40" s="26">
        <f>+E42/E37</f>
        <v>4.9555915873293915E-2</v>
      </c>
    </row>
    <row r="41" spans="2:12" x14ac:dyDescent="0.25">
      <c r="B41" s="1" t="s">
        <v>115</v>
      </c>
      <c r="D41" s="26">
        <f>+D40/D37</f>
        <v>8.3914055246616118E-2</v>
      </c>
      <c r="E41" s="26">
        <f>+E40/E37</f>
        <v>8.3382615018462544E-2</v>
      </c>
      <c r="F41" s="30">
        <f t="shared" si="5"/>
        <v>-6.3331491559038217E-3</v>
      </c>
      <c r="G41" s="13" t="s">
        <v>132</v>
      </c>
      <c r="H41" s="26">
        <f>+E38/E37</f>
        <v>3.152680399663238E-2</v>
      </c>
    </row>
    <row r="42" spans="2:12" x14ac:dyDescent="0.25">
      <c r="B42" s="1" t="s">
        <v>1</v>
      </c>
      <c r="D42" s="15">
        <v>51716000</v>
      </c>
      <c r="E42" s="15">
        <v>198599000</v>
      </c>
      <c r="F42" s="30">
        <f t="shared" si="5"/>
        <v>2.8401848557506382</v>
      </c>
      <c r="G42" s="13"/>
    </row>
    <row r="43" spans="2:12" x14ac:dyDescent="0.25">
      <c r="B43" s="1" t="s">
        <v>24</v>
      </c>
      <c r="D43" s="3">
        <f>+K37/K38</f>
        <v>1.5957647616282626</v>
      </c>
      <c r="E43" s="3">
        <f>+L37/L38</f>
        <v>1.6634992281670105</v>
      </c>
      <c r="F43" s="30">
        <f t="shared" si="5"/>
        <v>4.2446398220771543E-2</v>
      </c>
      <c r="G43" s="13"/>
    </row>
    <row r="44" spans="2:12" s="82" customFormat="1" x14ac:dyDescent="0.25"/>
    <row r="45" spans="2:12" x14ac:dyDescent="0.25">
      <c r="B45" s="4" t="s">
        <v>66</v>
      </c>
      <c r="D45" s="32" t="s">
        <v>144</v>
      </c>
      <c r="E45" s="32" t="s">
        <v>145</v>
      </c>
      <c r="F45" s="32" t="s">
        <v>127</v>
      </c>
      <c r="G45" s="55" t="s">
        <v>66</v>
      </c>
      <c r="K45" s="4">
        <v>2023</v>
      </c>
      <c r="L45" s="4">
        <v>2024</v>
      </c>
    </row>
    <row r="46" spans="2:12" x14ac:dyDescent="0.25">
      <c r="B46" s="1" t="s">
        <v>99</v>
      </c>
      <c r="D46" s="15">
        <v>1563548000</v>
      </c>
      <c r="E46" s="15">
        <v>1823889000</v>
      </c>
      <c r="F46" s="30">
        <f>+(E46-D46)/D46</f>
        <v>0.16650656071959416</v>
      </c>
      <c r="G46" s="13" t="s">
        <v>99</v>
      </c>
      <c r="H46" s="24">
        <f>+E46</f>
        <v>1823889000</v>
      </c>
      <c r="J46" s="4" t="s">
        <v>8</v>
      </c>
      <c r="K46" s="15">
        <v>473424000</v>
      </c>
      <c r="L46" s="57">
        <v>585006000</v>
      </c>
    </row>
    <row r="47" spans="2:12" x14ac:dyDescent="0.25">
      <c r="B47" s="1" t="s">
        <v>129</v>
      </c>
      <c r="D47" s="15">
        <v>49001000</v>
      </c>
      <c r="E47" s="15">
        <v>68935000</v>
      </c>
      <c r="F47" s="30">
        <f>+(E47-D47)/D47</f>
        <v>0.40680802432603419</v>
      </c>
      <c r="G47" s="13" t="s">
        <v>127</v>
      </c>
      <c r="H47" s="56">
        <f>+F46</f>
        <v>0.16650656071959416</v>
      </c>
      <c r="J47" s="4" t="s">
        <v>13</v>
      </c>
      <c r="K47" s="15">
        <v>279183000</v>
      </c>
      <c r="L47" s="57">
        <v>380454000</v>
      </c>
    </row>
    <row r="48" spans="2:12" x14ac:dyDescent="0.25">
      <c r="B48" s="1" t="s">
        <v>0</v>
      </c>
      <c r="D48" s="15">
        <v>196385000</v>
      </c>
      <c r="E48" s="15">
        <v>258254000</v>
      </c>
      <c r="F48" s="30">
        <f t="shared" ref="F48:F52" si="6">+(E48-D48)/D48</f>
        <v>0.31503933599816686</v>
      </c>
      <c r="G48" s="13" t="s">
        <v>130</v>
      </c>
      <c r="H48" s="26">
        <f>+E48/E46</f>
        <v>0.14159523962258669</v>
      </c>
    </row>
    <row r="49" spans="2:8" x14ac:dyDescent="0.25">
      <c r="B49" s="1" t="s">
        <v>46</v>
      </c>
      <c r="D49" s="15">
        <v>126505000</v>
      </c>
      <c r="E49" s="15">
        <v>147607000</v>
      </c>
      <c r="F49" s="30">
        <f t="shared" si="6"/>
        <v>0.16680763606181573</v>
      </c>
      <c r="G49" s="13" t="s">
        <v>131</v>
      </c>
      <c r="H49" s="26">
        <f>+E51/E46</f>
        <v>6.0665424266498673E-2</v>
      </c>
    </row>
    <row r="50" spans="2:8" x14ac:dyDescent="0.25">
      <c r="B50" s="1" t="s">
        <v>115</v>
      </c>
      <c r="D50" s="26">
        <f>+D49/D46</f>
        <v>8.0908932760618793E-2</v>
      </c>
      <c r="E50" s="26">
        <f>+E49/E46</f>
        <v>8.0929815356088008E-2</v>
      </c>
      <c r="F50" s="30">
        <f t="shared" si="6"/>
        <v>2.5809999905696121E-4</v>
      </c>
      <c r="G50" s="13" t="s">
        <v>132</v>
      </c>
      <c r="H50" s="26">
        <f>+E47/E46</f>
        <v>3.7795611465390712E-2</v>
      </c>
    </row>
    <row r="51" spans="2:8" x14ac:dyDescent="0.25">
      <c r="B51" s="1" t="s">
        <v>1</v>
      </c>
      <c r="D51" s="15">
        <v>69880000</v>
      </c>
      <c r="E51" s="15">
        <v>110647000</v>
      </c>
      <c r="F51" s="30">
        <f t="shared" si="6"/>
        <v>0.58338580423583286</v>
      </c>
      <c r="G51" s="13"/>
    </row>
    <row r="52" spans="2:8" x14ac:dyDescent="0.25">
      <c r="B52" s="1" t="s">
        <v>24</v>
      </c>
      <c r="D52" s="3">
        <f>+K46/K47</f>
        <v>1.6957479502691784</v>
      </c>
      <c r="E52" s="3">
        <f>+L46/L47</f>
        <v>1.5376523837310161</v>
      </c>
      <c r="F52" s="30">
        <f t="shared" si="6"/>
        <v>-9.3230580943982039E-2</v>
      </c>
      <c r="G52" s="13"/>
    </row>
    <row r="53" spans="2:8" s="82" customFormat="1" x14ac:dyDescent="0.25"/>
  </sheetData>
  <mergeCells count="1">
    <mergeCell ref="D4:H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E45B6-910C-401D-833B-20D04A392657}">
  <dimension ref="B2:I23"/>
  <sheetViews>
    <sheetView workbookViewId="0"/>
  </sheetViews>
  <sheetFormatPr defaultRowHeight="15" x14ac:dyDescent="0.25"/>
  <cols>
    <col min="1" max="1" width="3" style="1" customWidth="1"/>
    <col min="2" max="2" width="52.5703125" style="1" bestFit="1" customWidth="1"/>
    <col min="3" max="3" width="23.28515625" style="1" customWidth="1"/>
    <col min="4" max="4" width="20.28515625" style="1" customWidth="1"/>
    <col min="5" max="5" width="22.42578125" style="1" customWidth="1"/>
    <col min="6" max="6" width="15.5703125" style="1" customWidth="1"/>
    <col min="7" max="7" width="8.42578125" style="1" customWidth="1"/>
    <col min="8" max="8" width="15.85546875" style="1" customWidth="1"/>
    <col min="9" max="9" width="10" style="1" customWidth="1"/>
    <col min="10" max="10" width="16.28515625" style="1" bestFit="1" customWidth="1"/>
    <col min="11" max="13" width="18" style="1" bestFit="1" customWidth="1"/>
    <col min="14" max="16384" width="9.140625" style="1"/>
  </cols>
  <sheetData>
    <row r="2" spans="2:9" x14ac:dyDescent="0.25">
      <c r="B2" s="4" t="s">
        <v>146</v>
      </c>
    </row>
    <row r="3" spans="2:9" x14ac:dyDescent="0.25">
      <c r="B3" s="4"/>
      <c r="C3" s="15"/>
      <c r="D3" s="15"/>
      <c r="E3" s="15"/>
    </row>
    <row r="4" spans="2:9" x14ac:dyDescent="0.25">
      <c r="B4" s="6" t="s">
        <v>154</v>
      </c>
      <c r="C4" s="2"/>
      <c r="D4" s="2"/>
      <c r="E4" s="2"/>
    </row>
    <row r="5" spans="2:9" x14ac:dyDescent="0.25">
      <c r="B5" s="9" t="s">
        <v>50</v>
      </c>
      <c r="C5" s="9" t="s">
        <v>59</v>
      </c>
      <c r="D5" s="9" t="s">
        <v>81</v>
      </c>
      <c r="E5" s="9" t="s">
        <v>66</v>
      </c>
      <c r="F5" s="20" t="s">
        <v>158</v>
      </c>
      <c r="G5" s="9" t="s">
        <v>278</v>
      </c>
      <c r="H5" s="9" t="s">
        <v>159</v>
      </c>
      <c r="I5" s="9" t="s">
        <v>156</v>
      </c>
    </row>
    <row r="6" spans="2:9" x14ac:dyDescent="0.25">
      <c r="B6" s="1" t="s">
        <v>148</v>
      </c>
      <c r="C6" s="12">
        <v>15.2</v>
      </c>
      <c r="D6" s="12">
        <v>14.51</v>
      </c>
      <c r="E6" s="12">
        <v>26.56</v>
      </c>
      <c r="F6" s="17">
        <f t="shared" ref="F6:F8" si="0">+MIN(C6:E6)</f>
        <v>14.51</v>
      </c>
      <c r="G6" s="58">
        <f>+MEDIAN(C6:E6)</f>
        <v>15.2</v>
      </c>
      <c r="H6" s="12">
        <f t="shared" ref="H6:H8" si="1">+MAX(C6:E6)</f>
        <v>26.56</v>
      </c>
      <c r="I6" s="58">
        <f>+MAX(C6:E6)/MIN(C6:E6)</f>
        <v>1.8304617505168848</v>
      </c>
    </row>
    <row r="7" spans="2:9" x14ac:dyDescent="0.25">
      <c r="B7" s="1" t="s">
        <v>147</v>
      </c>
      <c r="C7" s="12">
        <v>19.05</v>
      </c>
      <c r="D7" s="12">
        <v>25.07</v>
      </c>
      <c r="E7" s="12">
        <v>48.77</v>
      </c>
      <c r="F7" s="17">
        <f t="shared" si="0"/>
        <v>19.05</v>
      </c>
      <c r="G7" s="58">
        <f>+MEDIAN(C7:E7)</f>
        <v>25.07</v>
      </c>
      <c r="H7" s="12">
        <f t="shared" si="1"/>
        <v>48.77</v>
      </c>
      <c r="I7" s="58">
        <f t="shared" ref="I7:I8" si="2">+MAX(C7:E7)/MIN(C7:E7)</f>
        <v>2.5601049868766403</v>
      </c>
    </row>
    <row r="8" spans="2:9" x14ac:dyDescent="0.25">
      <c r="B8" s="1" t="s">
        <v>150</v>
      </c>
      <c r="C8" s="12">
        <v>2.33</v>
      </c>
      <c r="D8" s="12">
        <v>1.01</v>
      </c>
      <c r="E8" s="12">
        <v>2.35</v>
      </c>
      <c r="F8" s="17">
        <f t="shared" si="0"/>
        <v>1.01</v>
      </c>
      <c r="G8" s="58">
        <f>+MEDIAN(C8:E8)</f>
        <v>2.33</v>
      </c>
      <c r="H8" s="12">
        <f t="shared" si="1"/>
        <v>2.35</v>
      </c>
      <c r="I8" s="58">
        <f t="shared" si="2"/>
        <v>2.3267326732673266</v>
      </c>
    </row>
    <row r="9" spans="2:9" x14ac:dyDescent="0.25">
      <c r="C9" s="12"/>
      <c r="D9" s="12"/>
      <c r="E9" s="12"/>
    </row>
    <row r="11" spans="2:9" x14ac:dyDescent="0.25">
      <c r="B11" s="6" t="s">
        <v>136</v>
      </c>
      <c r="C11" s="6" t="s">
        <v>160</v>
      </c>
      <c r="D11" s="6" t="s">
        <v>279</v>
      </c>
      <c r="E11" s="6" t="s">
        <v>161</v>
      </c>
      <c r="G11" s="6" t="s">
        <v>222</v>
      </c>
      <c r="H11" s="6">
        <v>2024</v>
      </c>
    </row>
    <row r="12" spans="2:9" x14ac:dyDescent="0.25">
      <c r="B12" s="1" t="s">
        <v>280</v>
      </c>
      <c r="C12" s="24">
        <f>+(F6*$H$12)</f>
        <v>792218605.12</v>
      </c>
      <c r="D12" s="24">
        <f>+(G6*$H$12)</f>
        <v>829891302.39999998</v>
      </c>
      <c r="E12" s="24">
        <f>+(H6*$H$12)</f>
        <v>1450125854.72</v>
      </c>
      <c r="G12" s="1" t="s">
        <v>140</v>
      </c>
      <c r="H12" s="24">
        <f>+'Análisis Financiero'!E35</f>
        <v>54598112</v>
      </c>
      <c r="I12" s="4"/>
    </row>
    <row r="13" spans="2:9" x14ac:dyDescent="0.25">
      <c r="B13" s="1" t="s">
        <v>281</v>
      </c>
      <c r="C13" s="24">
        <f>+(F7*$H$13)</f>
        <v>684549672.30000007</v>
      </c>
      <c r="D13" s="24">
        <f>+(G7*$H$13)</f>
        <v>900874555.62</v>
      </c>
      <c r="E13" s="24">
        <f>+(H7*$H$13)</f>
        <v>1752519029.8200002</v>
      </c>
      <c r="G13" s="1" t="s">
        <v>155</v>
      </c>
      <c r="H13" s="24">
        <f>+IS!D16</f>
        <v>35934366</v>
      </c>
    </row>
    <row r="14" spans="2:9" x14ac:dyDescent="0.25">
      <c r="B14" s="1" t="s">
        <v>282</v>
      </c>
      <c r="C14" s="24">
        <f>+(F8*$H$14)</f>
        <v>318339398.23000002</v>
      </c>
      <c r="D14" s="24">
        <f>+(G8*$H$14)</f>
        <v>734386928.59000003</v>
      </c>
      <c r="E14" s="24">
        <f>+(H8*$H$14)</f>
        <v>740690679.05000007</v>
      </c>
      <c r="G14" s="1" t="s">
        <v>99</v>
      </c>
      <c r="H14" s="24">
        <f>+IS!D9</f>
        <v>315187523</v>
      </c>
    </row>
    <row r="15" spans="2:9" x14ac:dyDescent="0.25">
      <c r="B15" s="87" t="s">
        <v>274</v>
      </c>
      <c r="C15" s="88">
        <f>+C12-'Análisis Financiero'!E45</f>
        <v>734047289.12</v>
      </c>
      <c r="D15" s="88">
        <f>+D12-'Análisis Financiero'!E45</f>
        <v>771719986.39999998</v>
      </c>
      <c r="E15" s="88">
        <f>+E12-'Análisis Financiero'!E45</f>
        <v>1391954538.72</v>
      </c>
    </row>
    <row r="16" spans="2:9" x14ac:dyDescent="0.25">
      <c r="B16" s="1" t="s">
        <v>275</v>
      </c>
      <c r="C16" s="24">
        <f>+C13-'Análisis Financiero'!E45</f>
        <v>626378356.30000007</v>
      </c>
      <c r="D16" s="24">
        <f>+D13-'Análisis Financiero'!E45</f>
        <v>842703239.62</v>
      </c>
      <c r="E16" s="24">
        <f>+E13-'Análisis Financiero'!E45</f>
        <v>1694347713.8200002</v>
      </c>
    </row>
    <row r="17" spans="2:5" x14ac:dyDescent="0.25">
      <c r="B17" s="1" t="s">
        <v>276</v>
      </c>
      <c r="C17" s="24">
        <f>+C14-'Análisis Financiero'!E45</f>
        <v>260168082.23000002</v>
      </c>
      <c r="D17" s="24">
        <f>+D14-'Análisis Financiero'!E45</f>
        <v>676215612.59000003</v>
      </c>
      <c r="E17" s="24">
        <f>+E14-'Análisis Financiero'!E45</f>
        <v>682519363.05000007</v>
      </c>
    </row>
    <row r="19" spans="2:5" x14ac:dyDescent="0.25">
      <c r="B19" s="4" t="s">
        <v>226</v>
      </c>
      <c r="C19" s="29">
        <f>+C15/Noticia!$D$4</f>
        <v>20.050458593826825</v>
      </c>
      <c r="D19" s="29">
        <f>+D15/Noticia!$D$4</f>
        <v>21.07948610762087</v>
      </c>
      <c r="E19" s="29">
        <f>+E15/Noticia!$D$4</f>
        <v>38.021156479650372</v>
      </c>
    </row>
    <row r="20" spans="2:5" x14ac:dyDescent="0.25">
      <c r="B20" s="1" t="s">
        <v>227</v>
      </c>
      <c r="C20" s="24">
        <f>+C16/Noticia!$D$4</f>
        <v>17.109488016935266</v>
      </c>
      <c r="D20" s="24">
        <f>+D16/Noticia!$D$4</f>
        <v>23.018389500682872</v>
      </c>
      <c r="E20" s="24">
        <f>+E16/Noticia!$D$4</f>
        <v>46.281008298825462</v>
      </c>
    </row>
    <row r="21" spans="2:5" x14ac:dyDescent="0.25">
      <c r="B21" s="1" t="s">
        <v>228</v>
      </c>
      <c r="C21" s="24">
        <f>+C17/Noticia!$D$4</f>
        <v>7.1064758871892932</v>
      </c>
      <c r="D21" s="24">
        <f>+D17/Noticia!$D$4</f>
        <v>18.470789745697896</v>
      </c>
      <c r="E21" s="24">
        <f>+E17/Noticia!$D$4</f>
        <v>18.642976319311664</v>
      </c>
    </row>
    <row r="23" spans="2:5" x14ac:dyDescent="0.25">
      <c r="D23" s="8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454F1-4BAC-4F9C-9CB0-DDB00C685802}">
  <dimension ref="B2:G54"/>
  <sheetViews>
    <sheetView zoomScaleNormal="100" workbookViewId="0"/>
  </sheetViews>
  <sheetFormatPr defaultRowHeight="15" x14ac:dyDescent="0.25"/>
  <cols>
    <col min="1" max="1" width="3" style="1" customWidth="1"/>
    <col min="2" max="2" width="45" style="1" bestFit="1" customWidth="1"/>
    <col min="3" max="3" width="22.28515625" style="1" bestFit="1" customWidth="1"/>
    <col min="4" max="5" width="19" style="1" bestFit="1" customWidth="1"/>
    <col min="6" max="6" width="28.42578125" style="1" customWidth="1"/>
    <col min="7" max="7" width="20.42578125" style="1" bestFit="1" customWidth="1"/>
    <col min="8" max="16384" width="9.140625" style="1"/>
  </cols>
  <sheetData>
    <row r="2" spans="2:5" x14ac:dyDescent="0.25">
      <c r="B2" s="4" t="s">
        <v>203</v>
      </c>
    </row>
    <row r="4" spans="2:5" x14ac:dyDescent="0.25">
      <c r="B4" s="6" t="s">
        <v>51</v>
      </c>
      <c r="C4" s="6" t="s">
        <v>59</v>
      </c>
      <c r="D4" s="6" t="s">
        <v>81</v>
      </c>
      <c r="E4" s="6" t="s">
        <v>66</v>
      </c>
    </row>
    <row r="5" spans="2:5" x14ac:dyDescent="0.25">
      <c r="B5" s="9" t="s">
        <v>162</v>
      </c>
      <c r="C5" s="59" t="s">
        <v>168</v>
      </c>
      <c r="D5" s="9" t="s">
        <v>168</v>
      </c>
      <c r="E5" s="9" t="s">
        <v>168</v>
      </c>
    </row>
    <row r="6" spans="2:5" x14ac:dyDescent="0.25">
      <c r="B6" s="9" t="s">
        <v>163</v>
      </c>
      <c r="C6" s="9" t="s">
        <v>170</v>
      </c>
      <c r="D6" s="9" t="s">
        <v>169</v>
      </c>
      <c r="E6" s="9" t="s">
        <v>170</v>
      </c>
    </row>
    <row r="7" spans="2:5" x14ac:dyDescent="0.25">
      <c r="B7" s="1" t="s">
        <v>152</v>
      </c>
      <c r="C7" s="15">
        <v>332.29</v>
      </c>
      <c r="D7" s="15">
        <v>108.31</v>
      </c>
      <c r="E7" s="15">
        <v>105.38</v>
      </c>
    </row>
    <row r="8" spans="2:5" x14ac:dyDescent="0.25">
      <c r="B8" s="1" t="s">
        <v>153</v>
      </c>
      <c r="C8" s="12">
        <v>30720000</v>
      </c>
      <c r="D8" s="12">
        <v>43650000</v>
      </c>
      <c r="E8" s="12">
        <v>56530000</v>
      </c>
    </row>
    <row r="9" spans="2:5" x14ac:dyDescent="0.25">
      <c r="B9" s="1" t="s">
        <v>246</v>
      </c>
      <c r="C9" s="15">
        <v>369274000</v>
      </c>
      <c r="D9" s="15">
        <v>832851000</v>
      </c>
      <c r="E9" s="15">
        <v>553250000</v>
      </c>
    </row>
    <row r="10" spans="2:5" x14ac:dyDescent="0.25">
      <c r="B10" s="1" t="s">
        <v>47</v>
      </c>
      <c r="C10" s="19">
        <f>+C7*C8</f>
        <v>10207948800</v>
      </c>
      <c r="D10" s="19">
        <f>+D7*D8</f>
        <v>4727731500</v>
      </c>
      <c r="E10" s="19">
        <f>+E7*E8</f>
        <v>5957131400</v>
      </c>
    </row>
    <row r="11" spans="2:5" x14ac:dyDescent="0.25">
      <c r="B11" s="1" t="s">
        <v>149</v>
      </c>
      <c r="C11" s="24">
        <f>+C10+C9</f>
        <v>10577222800</v>
      </c>
      <c r="D11" s="24">
        <f>+D10+D9</f>
        <v>5560582500</v>
      </c>
      <c r="E11" s="24">
        <f>+E10+E9</f>
        <v>6510381400</v>
      </c>
    </row>
    <row r="12" spans="2:5" x14ac:dyDescent="0.25">
      <c r="B12" s="1" t="s">
        <v>173</v>
      </c>
      <c r="C12" s="24">
        <f>+'Análisis Financiero'!N4</f>
        <v>358278000</v>
      </c>
      <c r="D12" s="24">
        <f>+'Análisis Financiero'!N5</f>
        <v>196192000</v>
      </c>
      <c r="E12" s="24">
        <f>+'Análisis Financiero'!N6</f>
        <v>92099000</v>
      </c>
    </row>
    <row r="13" spans="2:5" x14ac:dyDescent="0.25">
      <c r="B13" s="1" t="s">
        <v>174</v>
      </c>
      <c r="C13" s="24">
        <f>+'Análisis Financiero'!O4</f>
        <v>87360000</v>
      </c>
      <c r="D13" s="24">
        <f>+'Análisis Financiero'!O5</f>
        <v>55749000</v>
      </c>
      <c r="E13" s="24">
        <f>+'Análisis Financiero'!O6</f>
        <v>23161000</v>
      </c>
    </row>
    <row r="14" spans="2:5" x14ac:dyDescent="0.25">
      <c r="B14" s="1" t="s">
        <v>172</v>
      </c>
      <c r="C14" s="31">
        <v>4.1099999999999998E-2</v>
      </c>
      <c r="D14" s="31">
        <v>4.1099999999999998E-2</v>
      </c>
      <c r="E14" s="31">
        <v>4.1099999999999998E-2</v>
      </c>
    </row>
    <row r="15" spans="2:5" x14ac:dyDescent="0.25">
      <c r="B15" s="1" t="s">
        <v>166</v>
      </c>
      <c r="C15" s="31">
        <v>5.5E-2</v>
      </c>
      <c r="D15" s="31">
        <v>5.5E-2</v>
      </c>
      <c r="E15" s="31">
        <v>5.5E-2</v>
      </c>
    </row>
    <row r="16" spans="2:5" x14ac:dyDescent="0.25">
      <c r="B16" s="1" t="s">
        <v>176</v>
      </c>
      <c r="C16" s="12">
        <v>1.49</v>
      </c>
      <c r="D16" s="12">
        <v>1.34</v>
      </c>
      <c r="E16" s="12">
        <v>0.88</v>
      </c>
    </row>
    <row r="17" spans="2:7" x14ac:dyDescent="0.25">
      <c r="B17" s="1" t="s">
        <v>45</v>
      </c>
      <c r="C17" s="49">
        <f>+C13/C12</f>
        <v>0.24383300118902082</v>
      </c>
      <c r="D17" s="49">
        <f>+D13/D12</f>
        <v>0.28415531724025445</v>
      </c>
      <c r="E17" s="49">
        <f>+E13/E12</f>
        <v>0.25147938631255495</v>
      </c>
    </row>
    <row r="18" spans="2:7" x14ac:dyDescent="0.25">
      <c r="B18" s="1" t="s">
        <v>184</v>
      </c>
      <c r="C18" s="49">
        <f>1-C17</f>
        <v>0.75616699881097915</v>
      </c>
      <c r="D18" s="49">
        <f t="shared" ref="D18:E18" si="0">1-D17</f>
        <v>0.71584468275974555</v>
      </c>
      <c r="E18" s="49">
        <f t="shared" si="0"/>
        <v>0.74852061368744505</v>
      </c>
    </row>
    <row r="19" spans="2:7" x14ac:dyDescent="0.25">
      <c r="B19" s="1" t="s">
        <v>177</v>
      </c>
      <c r="C19" s="63">
        <v>0.06</v>
      </c>
      <c r="D19" s="63">
        <v>0.06</v>
      </c>
      <c r="E19" s="63">
        <v>0.06</v>
      </c>
      <c r="F19" s="4" t="s">
        <v>229</v>
      </c>
    </row>
    <row r="20" spans="2:7" x14ac:dyDescent="0.25">
      <c r="B20" s="1" t="s">
        <v>165</v>
      </c>
      <c r="C20" s="63">
        <f>+C19-C14</f>
        <v>1.89E-2</v>
      </c>
      <c r="D20" s="63">
        <f>+D19-D14</f>
        <v>1.89E-2</v>
      </c>
      <c r="E20" s="63">
        <f>+E19-E14</f>
        <v>1.89E-2</v>
      </c>
    </row>
    <row r="21" spans="2:7" x14ac:dyDescent="0.25">
      <c r="B21" s="1" t="s">
        <v>175</v>
      </c>
      <c r="C21" s="63">
        <f>+C20/C15</f>
        <v>0.34363636363636363</v>
      </c>
      <c r="D21" s="63">
        <f>+D20/D15</f>
        <v>0.34363636363636363</v>
      </c>
      <c r="E21" s="63">
        <f>+E20/E15</f>
        <v>0.34363636363636363</v>
      </c>
      <c r="G21" s="62"/>
    </row>
    <row r="22" spans="2:7" x14ac:dyDescent="0.25">
      <c r="B22" s="1" t="s">
        <v>277</v>
      </c>
      <c r="C22" s="12">
        <f>+C9</f>
        <v>369274000</v>
      </c>
      <c r="D22" s="12">
        <f>+D9</f>
        <v>832851000</v>
      </c>
      <c r="E22" s="12">
        <f>+E9</f>
        <v>553250000</v>
      </c>
      <c r="G22" s="62"/>
    </row>
    <row r="23" spans="2:7" x14ac:dyDescent="0.25">
      <c r="B23" s="1" t="s">
        <v>182</v>
      </c>
      <c r="C23" s="60">
        <f>+C22+C10</f>
        <v>10577222800</v>
      </c>
      <c r="D23" s="60">
        <f>+D22+D10</f>
        <v>5560582500</v>
      </c>
      <c r="E23" s="60">
        <f>+E22+E10</f>
        <v>6510381400</v>
      </c>
    </row>
    <row r="24" spans="2:7" x14ac:dyDescent="0.25">
      <c r="B24" s="1" t="s">
        <v>180</v>
      </c>
      <c r="C24" s="60">
        <f>+C22/C23</f>
        <v>3.4912188859253297E-2</v>
      </c>
      <c r="D24" s="60">
        <f>+D22/D23</f>
        <v>0.14977765369005855</v>
      </c>
      <c r="E24" s="60">
        <f>+E22/E23</f>
        <v>8.4979660331420834E-2</v>
      </c>
      <c r="F24" s="4" t="s">
        <v>195</v>
      </c>
      <c r="G24" s="66">
        <f>+AVERAGE(C24:E24)</f>
        <v>8.9889834293577553E-2</v>
      </c>
    </row>
    <row r="25" spans="2:7" x14ac:dyDescent="0.25">
      <c r="B25" s="1" t="s">
        <v>181</v>
      </c>
      <c r="C25" s="60">
        <f>+C10/C23</f>
        <v>0.96508781114074671</v>
      </c>
      <c r="D25" s="60">
        <f>+D10/D23</f>
        <v>0.85022234630994142</v>
      </c>
      <c r="E25" s="60">
        <f>+E10/E23</f>
        <v>0.91502033966857921</v>
      </c>
      <c r="F25" s="4" t="s">
        <v>196</v>
      </c>
      <c r="G25" s="66">
        <f>+AVERAGE(C25:E25)</f>
        <v>0.91011016570642245</v>
      </c>
    </row>
    <row r="26" spans="2:7" x14ac:dyDescent="0.25">
      <c r="B26" s="1" t="s">
        <v>164</v>
      </c>
      <c r="C26" s="60">
        <f>+C22/C11</f>
        <v>3.4912188859253297E-2</v>
      </c>
      <c r="D26" s="60">
        <f>+D22/D11</f>
        <v>0.14977765369005855</v>
      </c>
      <c r="E26" s="60">
        <f>+E22/E11</f>
        <v>8.4979660331420834E-2</v>
      </c>
    </row>
    <row r="27" spans="2:7" x14ac:dyDescent="0.25">
      <c r="B27" s="1" t="s">
        <v>179</v>
      </c>
      <c r="C27" s="60">
        <f>+C10/C11</f>
        <v>0.96508781114074671</v>
      </c>
      <c r="D27" s="60">
        <f>+D10/D11</f>
        <v>0.85022234630994142</v>
      </c>
      <c r="E27" s="60">
        <f>+E10/E11</f>
        <v>0.91502033966857921</v>
      </c>
    </row>
    <row r="28" spans="2:7" x14ac:dyDescent="0.25">
      <c r="B28" s="1" t="s">
        <v>171</v>
      </c>
      <c r="C28" s="60">
        <f>+C9*(1-WACC!C17)/WACC!C11</f>
        <v>2.6399445071623669E-2</v>
      </c>
      <c r="D28" s="60">
        <f>+D9*(1-WACC!D17)/WACC!D11</f>
        <v>0.107217536990259</v>
      </c>
      <c r="E28" s="60">
        <f>+E9*(1-WACC!E17)/WACC!E11</f>
        <v>6.3609027502225746E-2</v>
      </c>
    </row>
    <row r="29" spans="2:7" x14ac:dyDescent="0.25">
      <c r="B29" s="1" t="s">
        <v>191</v>
      </c>
      <c r="C29" s="26">
        <f>+C14+C16*C15</f>
        <v>0.12304999999999999</v>
      </c>
      <c r="D29" s="26">
        <f>+D14+D16*D15</f>
        <v>0.1148</v>
      </c>
      <c r="E29" s="26">
        <f>+E14+E16*E15</f>
        <v>8.9499999999999996E-2</v>
      </c>
    </row>
    <row r="30" spans="2:7" x14ac:dyDescent="0.25">
      <c r="B30" s="4" t="s">
        <v>167</v>
      </c>
      <c r="C30" s="65">
        <f>+C25*C29+C24*C18*C19</f>
        <v>0.12033802186516629</v>
      </c>
      <c r="D30" s="65">
        <f>+D25*D29+D24*D18*D19</f>
        <v>0.10403857757579681</v>
      </c>
      <c r="E30" s="65">
        <f>+E25*E29+E24*E18*E19</f>
        <v>8.571086205047139E-2</v>
      </c>
    </row>
    <row r="31" spans="2:7" x14ac:dyDescent="0.25">
      <c r="B31" s="1" t="s">
        <v>178</v>
      </c>
      <c r="C31" s="26">
        <f>+C25*C29+C26*C19</f>
        <v>0.12084878649242407</v>
      </c>
      <c r="D31" s="26">
        <f>+D25*D29+D26*D19</f>
        <v>0.10659218457778478</v>
      </c>
      <c r="E31" s="26">
        <f>+E25*E29+E26*E19</f>
        <v>8.6993100020223091E-2</v>
      </c>
    </row>
    <row r="32" spans="2:7" x14ac:dyDescent="0.25">
      <c r="B32" s="1" t="s">
        <v>192</v>
      </c>
      <c r="C32" s="12">
        <f>+(C31-C14)/C15</f>
        <v>1.4499779362258922</v>
      </c>
      <c r="D32" s="12">
        <f>+(D31-D14)/D15</f>
        <v>1.1907669923233597</v>
      </c>
      <c r="E32" s="12">
        <f>+(E31-E14)/E15</f>
        <v>0.83442000036769259</v>
      </c>
      <c r="F32" s="4" t="s">
        <v>183</v>
      </c>
      <c r="G32" s="58">
        <f>+AVERAGE(C32:E32)</f>
        <v>1.1583883096389815</v>
      </c>
    </row>
    <row r="33" spans="2:7" x14ac:dyDescent="0.25">
      <c r="B33" s="1" t="s">
        <v>190</v>
      </c>
      <c r="C33" s="12">
        <f>+C32+C18*C24*(C32-C21)</f>
        <v>1.4791847398019233</v>
      </c>
      <c r="D33" s="12">
        <f>+D32+D18*D24*(D32-D21)</f>
        <v>1.281594251840189</v>
      </c>
      <c r="E33" s="12">
        <f>+E32+E18*E24*(E32-E21)</f>
        <v>0.86563827021417805</v>
      </c>
      <c r="F33" s="4"/>
    </row>
    <row r="34" spans="2:7" x14ac:dyDescent="0.25">
      <c r="B34" s="21" t="s">
        <v>199</v>
      </c>
      <c r="C34" s="68">
        <f>+C31-C17*C19*C24</f>
        <v>0.12033802186516629</v>
      </c>
      <c r="D34" s="68">
        <f>+D31-D17*D19*D24</f>
        <v>0.10403857757579681</v>
      </c>
      <c r="E34" s="68">
        <f>+E31-E17*E19*E24</f>
        <v>8.571086205047139E-2</v>
      </c>
      <c r="G34" s="31"/>
    </row>
    <row r="36" spans="2:7" x14ac:dyDescent="0.25">
      <c r="B36" s="6" t="s">
        <v>200</v>
      </c>
      <c r="C36" s="2"/>
      <c r="F36" s="6" t="s">
        <v>213</v>
      </c>
      <c r="G36" s="2"/>
    </row>
    <row r="37" spans="2:7" x14ac:dyDescent="0.25">
      <c r="B37" s="1" t="s">
        <v>230</v>
      </c>
      <c r="C37" s="64">
        <v>4.1099999999999998E-2</v>
      </c>
      <c r="D37" s="64"/>
      <c r="F37" s="1" t="s">
        <v>230</v>
      </c>
      <c r="G37" s="64">
        <v>4.1099999999999998E-2</v>
      </c>
    </row>
    <row r="38" spans="2:7" x14ac:dyDescent="0.25">
      <c r="B38" s="1" t="s">
        <v>166</v>
      </c>
      <c r="C38" s="64">
        <v>5.5E-2</v>
      </c>
      <c r="D38" s="64"/>
      <c r="F38" s="1" t="s">
        <v>166</v>
      </c>
      <c r="G38" s="64">
        <v>5.5E-2</v>
      </c>
    </row>
    <row r="39" spans="2:7" x14ac:dyDescent="0.25">
      <c r="B39" s="1" t="s">
        <v>45</v>
      </c>
      <c r="C39" s="64">
        <f>+'Análisis Financiero'!C15</f>
        <v>0.25</v>
      </c>
      <c r="D39" s="64"/>
      <c r="F39" s="1" t="s">
        <v>180</v>
      </c>
      <c r="G39" s="64">
        <f>+MEDIAN(C24:E24)</f>
        <v>8.4979660331420834E-2</v>
      </c>
    </row>
    <row r="40" spans="2:7" x14ac:dyDescent="0.25">
      <c r="B40" s="1" t="s">
        <v>45</v>
      </c>
      <c r="C40" s="64">
        <f>+'Análisis Financiero'!C18</f>
        <v>4.5616213267008758E-2</v>
      </c>
      <c r="D40" s="64"/>
      <c r="F40" s="1" t="s">
        <v>181</v>
      </c>
      <c r="G40" s="64">
        <f>+MEDIAN(C25:E25)</f>
        <v>0.91502033966857921</v>
      </c>
    </row>
    <row r="41" spans="2:7" x14ac:dyDescent="0.25">
      <c r="B41" s="1" t="s">
        <v>194</v>
      </c>
      <c r="C41" s="64">
        <f>+'Análisis Financiero'!E45/'Análisis Financiero'!E46</f>
        <v>2.4908527781307988</v>
      </c>
      <c r="D41" s="64"/>
      <c r="F41" s="1" t="s">
        <v>45</v>
      </c>
      <c r="G41" s="64">
        <f>+C39</f>
        <v>0.25</v>
      </c>
    </row>
    <row r="42" spans="2:7" x14ac:dyDescent="0.25">
      <c r="B42" s="1" t="s">
        <v>193</v>
      </c>
      <c r="C42" s="15">
        <f>+'Análisis Financiero'!E45+'Análisis Financiero'!E46</f>
        <v>81525292</v>
      </c>
      <c r="D42" s="15"/>
      <c r="F42" s="1" t="s">
        <v>212</v>
      </c>
      <c r="G42" s="67">
        <f>+MEDIAN(C32:E32)</f>
        <v>1.1907669923233597</v>
      </c>
    </row>
    <row r="43" spans="2:7" x14ac:dyDescent="0.25">
      <c r="B43" s="1" t="s">
        <v>180</v>
      </c>
      <c r="C43" s="64">
        <f>+'Análisis Financiero'!E45/WACC!C42</f>
        <v>0.71353704565694775</v>
      </c>
      <c r="D43" s="64"/>
      <c r="F43" s="1" t="s">
        <v>198</v>
      </c>
      <c r="G43" s="64">
        <f>+G37+G42*G38</f>
        <v>0.10659218457778478</v>
      </c>
    </row>
    <row r="44" spans="2:7" x14ac:dyDescent="0.25">
      <c r="B44" s="1" t="s">
        <v>181</v>
      </c>
      <c r="C44" s="64">
        <f>+'Análisis Financiero'!E46/WACC!C42</f>
        <v>0.28646295434305219</v>
      </c>
      <c r="D44" s="64"/>
      <c r="F44" s="21" t="s">
        <v>249</v>
      </c>
      <c r="G44" s="68">
        <f>+G43*(1-G39*G41)</f>
        <v>0.10432764266793372</v>
      </c>
    </row>
    <row r="45" spans="2:7" x14ac:dyDescent="0.25">
      <c r="B45" s="1" t="s">
        <v>197</v>
      </c>
      <c r="C45" s="64">
        <f>+G32</f>
        <v>1.1583883096389815</v>
      </c>
      <c r="E45" s="4"/>
    </row>
    <row r="46" spans="2:7" x14ac:dyDescent="0.25">
      <c r="B46" s="1" t="s">
        <v>198</v>
      </c>
      <c r="C46" s="64">
        <f>+C37+C45*C38</f>
        <v>0.10481135703014398</v>
      </c>
    </row>
    <row r="47" spans="2:7" x14ac:dyDescent="0.25">
      <c r="B47" s="1" t="s">
        <v>258</v>
      </c>
      <c r="C47" s="64">
        <f>+C45*(1+(1-C39)*C41)</f>
        <v>3.3224193640528541</v>
      </c>
    </row>
    <row r="48" spans="2:7" hidden="1" x14ac:dyDescent="0.25">
      <c r="B48" s="1" t="s">
        <v>204</v>
      </c>
      <c r="C48" s="64">
        <f>+C45*(1+(1-C39)*C40)</f>
        <v>1.1980192757728576</v>
      </c>
    </row>
    <row r="49" spans="2:3" x14ac:dyDescent="0.25">
      <c r="B49" s="1" t="s">
        <v>191</v>
      </c>
      <c r="C49" s="64">
        <f>+C37+C47*C38</f>
        <v>0.22383306502290698</v>
      </c>
    </row>
    <row r="50" spans="2:3" hidden="1" x14ac:dyDescent="0.25">
      <c r="B50" s="1" t="s">
        <v>205</v>
      </c>
      <c r="C50" s="64">
        <f>+C37+C48*C38</f>
        <v>0.10699106016750716</v>
      </c>
    </row>
    <row r="51" spans="2:3" x14ac:dyDescent="0.25">
      <c r="B51" s="21" t="s">
        <v>201</v>
      </c>
      <c r="C51" s="68">
        <f>+C46*(1-C49*C39)</f>
        <v>9.8946295206827142E-2</v>
      </c>
    </row>
    <row r="52" spans="2:3" hidden="1" x14ac:dyDescent="0.25">
      <c r="B52" s="4" t="s">
        <v>202</v>
      </c>
      <c r="C52" s="72">
        <f>+C46*(1-C50*C40)</f>
        <v>0.10429982237033741</v>
      </c>
    </row>
    <row r="53" spans="2:3" x14ac:dyDescent="0.25">
      <c r="B53" s="4" t="s">
        <v>185</v>
      </c>
      <c r="C53" s="73">
        <f>+'Análisis Financiero'!E17</f>
        <v>0.42999770695753309</v>
      </c>
    </row>
    <row r="54" spans="2:3" hidden="1" x14ac:dyDescent="0.25">
      <c r="B54" s="4" t="s">
        <v>186</v>
      </c>
      <c r="C54" s="73">
        <f>+'Análisis Financiero'!E20</f>
        <v>0.54717711980351147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23CC7-FDB8-4BAE-8042-203EFD8253F8}">
  <dimension ref="B1:F49"/>
  <sheetViews>
    <sheetView topLeftCell="A25" workbookViewId="0">
      <selection activeCell="A25" sqref="A25"/>
    </sheetView>
  </sheetViews>
  <sheetFormatPr defaultRowHeight="15" x14ac:dyDescent="0.25"/>
  <cols>
    <col min="1" max="1" width="3" style="1" customWidth="1"/>
    <col min="2" max="2" width="16.42578125" style="1" bestFit="1" customWidth="1"/>
    <col min="3" max="3" width="20.85546875" style="1" customWidth="1"/>
    <col min="4" max="4" width="25.7109375" style="1" bestFit="1" customWidth="1"/>
    <col min="5" max="5" width="32.7109375" style="1" bestFit="1" customWidth="1"/>
    <col min="6" max="6" width="25.7109375" style="1" bestFit="1" customWidth="1"/>
    <col min="7" max="16384" width="9.140625" style="1"/>
  </cols>
  <sheetData>
    <row r="1" spans="2:6" hidden="1" x14ac:dyDescent="0.25"/>
    <row r="2" spans="2:6" hidden="1" x14ac:dyDescent="0.25">
      <c r="B2" s="89" t="s">
        <v>137</v>
      </c>
      <c r="C2" s="89"/>
      <c r="D2" s="89"/>
      <c r="E2" s="89"/>
      <c r="F2" s="89"/>
    </row>
    <row r="3" spans="2:6" hidden="1" x14ac:dyDescent="0.25">
      <c r="B3" s="9" t="s">
        <v>50</v>
      </c>
      <c r="C3" s="9" t="s">
        <v>58</v>
      </c>
      <c r="D3" s="9" t="s">
        <v>82</v>
      </c>
      <c r="E3" s="9" t="s">
        <v>65</v>
      </c>
      <c r="F3" s="13"/>
    </row>
    <row r="4" spans="2:6" hidden="1" x14ac:dyDescent="0.25">
      <c r="B4" s="7" t="s">
        <v>51</v>
      </c>
      <c r="C4" s="6" t="s">
        <v>59</v>
      </c>
      <c r="D4" s="6" t="s">
        <v>81</v>
      </c>
      <c r="E4" s="6" t="s">
        <v>66</v>
      </c>
      <c r="F4" s="14" t="s">
        <v>157</v>
      </c>
    </row>
    <row r="5" spans="2:6" hidden="1" x14ac:dyDescent="0.25">
      <c r="B5" s="5" t="s">
        <v>133</v>
      </c>
      <c r="F5" s="13"/>
    </row>
    <row r="6" spans="2:6" hidden="1" x14ac:dyDescent="0.25">
      <c r="B6" s="1" t="s">
        <v>99</v>
      </c>
      <c r="C6" s="24">
        <f>+'Análisis de comparabilidad'!F8</f>
        <v>2115756000</v>
      </c>
      <c r="D6" s="24">
        <f>+'Análisis de comparabilidad'!G8</f>
        <v>3509138000</v>
      </c>
      <c r="E6" s="24">
        <f>+'Análisis de comparabilidad'!H8</f>
        <v>1563548000</v>
      </c>
      <c r="F6" s="70">
        <f>+AVERAGE(C6:E6)</f>
        <v>2396147333.3333335</v>
      </c>
    </row>
    <row r="7" spans="2:6" hidden="1" x14ac:dyDescent="0.25">
      <c r="B7" s="1" t="s">
        <v>128</v>
      </c>
      <c r="C7" s="31">
        <f>+'Análisis de comparabilidad'!F9</f>
        <v>7.2774003424551606E-2</v>
      </c>
      <c r="D7" s="31">
        <f>+'Análisis de comparabilidad'!G9</f>
        <v>0.14203944102511784</v>
      </c>
      <c r="E7" s="31">
        <f>+'Análisis de comparabilidad'!H9</f>
        <v>0.16650656071959416</v>
      </c>
      <c r="F7" s="71">
        <f>+AVERAGE(C7:E7)</f>
        <v>0.12710666838975451</v>
      </c>
    </row>
    <row r="8" spans="2:6" hidden="1" x14ac:dyDescent="0.25">
      <c r="B8" s="1" t="s">
        <v>129</v>
      </c>
      <c r="C8" s="24">
        <f>+'Análisis de comparabilidad'!F10</f>
        <v>257461000</v>
      </c>
      <c r="D8" s="24">
        <f>+'Análisis de comparabilidad'!G10</f>
        <v>126346000</v>
      </c>
      <c r="E8" s="24">
        <f>+'Análisis de comparabilidad'!H10</f>
        <v>68935000</v>
      </c>
      <c r="F8" s="70">
        <f>+AVERAGE(C8:E8)</f>
        <v>150914000</v>
      </c>
    </row>
    <row r="9" spans="2:6" hidden="1" x14ac:dyDescent="0.25">
      <c r="B9" s="5" t="s">
        <v>210</v>
      </c>
      <c r="F9" s="70"/>
    </row>
    <row r="10" spans="2:6" hidden="1" x14ac:dyDescent="0.25">
      <c r="B10" s="1" t="s">
        <v>46</v>
      </c>
      <c r="C10" s="24">
        <f>+'Análisis de comparabilidad'!F12</f>
        <v>118424000</v>
      </c>
      <c r="D10" s="24">
        <f>+'Análisis de comparabilidad'!G12</f>
        <v>334162000</v>
      </c>
      <c r="E10" s="24">
        <f>+'Análisis de comparabilidad'!H12</f>
        <v>147607000</v>
      </c>
      <c r="F10" s="70">
        <f t="shared" ref="F10:F17" si="0">+AVERAGE(C10:E10)</f>
        <v>200064333.33333334</v>
      </c>
    </row>
    <row r="11" spans="2:6" hidden="1" x14ac:dyDescent="0.25">
      <c r="B11" s="1" t="s">
        <v>115</v>
      </c>
      <c r="C11" s="31">
        <f>+'Análisis de comparabilidad'!F13</f>
        <v>5.5972427822489929E-2</v>
      </c>
      <c r="D11" s="31">
        <f>+'Análisis de comparabilidad'!G13</f>
        <v>8.3382615018462544E-2</v>
      </c>
      <c r="E11" s="31">
        <f>+'Análisis de comparabilidad'!H13</f>
        <v>8.0929815356088008E-2</v>
      </c>
      <c r="F11" s="71">
        <f t="shared" si="0"/>
        <v>7.3428286065680151E-2</v>
      </c>
    </row>
    <row r="12" spans="2:6" hidden="1" x14ac:dyDescent="0.25">
      <c r="B12" s="1" t="s">
        <v>18</v>
      </c>
      <c r="C12" s="19">
        <v>1689633000</v>
      </c>
      <c r="D12" s="19">
        <v>3434877000</v>
      </c>
      <c r="E12" s="19">
        <v>1565635000</v>
      </c>
      <c r="F12" s="16">
        <f t="shared" si="0"/>
        <v>2230048333.3333335</v>
      </c>
    </row>
    <row r="13" spans="2:6" hidden="1" x14ac:dyDescent="0.25">
      <c r="B13" s="1" t="s">
        <v>208</v>
      </c>
      <c r="C13" s="31">
        <f>+C12/C6</f>
        <v>0.7985953956883497</v>
      </c>
      <c r="D13" s="31">
        <f>+D12/D6</f>
        <v>0.97883782284994203</v>
      </c>
      <c r="E13" s="31">
        <f>+E12/E6</f>
        <v>1.0013347847331837</v>
      </c>
      <c r="F13" s="71">
        <f t="shared" si="0"/>
        <v>0.92625600109049178</v>
      </c>
    </row>
    <row r="14" spans="2:6" hidden="1" x14ac:dyDescent="0.25">
      <c r="B14" s="1" t="s">
        <v>36</v>
      </c>
      <c r="C14" s="19">
        <f>+'Análisis de comparabilidad'!F14</f>
        <v>279922000</v>
      </c>
      <c r="D14" s="19">
        <f>+'Análisis de comparabilidad'!G14</f>
        <v>684704000</v>
      </c>
      <c r="E14" s="19">
        <f>+'Análisis de comparabilidad'!H14</f>
        <v>204552000</v>
      </c>
      <c r="F14" s="16">
        <f t="shared" si="0"/>
        <v>389726000</v>
      </c>
    </row>
    <row r="15" spans="2:6" hidden="1" x14ac:dyDescent="0.25">
      <c r="B15" s="1" t="s">
        <v>116</v>
      </c>
      <c r="C15" s="31">
        <f>+C14/C6</f>
        <v>0.13230353594648911</v>
      </c>
      <c r="D15" s="31">
        <f>+D14/D6</f>
        <v>0.1951202831008641</v>
      </c>
      <c r="E15" s="31">
        <f>+E14/E6</f>
        <v>0.13082553269870834</v>
      </c>
      <c r="F15" s="71">
        <f t="shared" si="0"/>
        <v>0.15274978391535385</v>
      </c>
    </row>
    <row r="16" spans="2:6" hidden="1" x14ac:dyDescent="0.25">
      <c r="B16" s="1" t="s">
        <v>211</v>
      </c>
      <c r="C16" s="19">
        <f>+'Análisis de comparabilidad'!F16</f>
        <v>1124402000</v>
      </c>
      <c r="D16" s="19">
        <f>+'Análisis de comparabilidad'!G16</f>
        <v>1754274000</v>
      </c>
      <c r="E16" s="19">
        <f>+'Análisis de comparabilidad'!H16</f>
        <v>1087264000</v>
      </c>
      <c r="F16" s="16">
        <f t="shared" si="0"/>
        <v>1321980000</v>
      </c>
    </row>
    <row r="17" spans="2:6" hidden="1" x14ac:dyDescent="0.25">
      <c r="B17" s="1" t="s">
        <v>117</v>
      </c>
      <c r="C17" s="31">
        <f>+C16/C6</f>
        <v>0.53144218898587547</v>
      </c>
      <c r="D17" s="31">
        <f>+D16/D6</f>
        <v>0.49991593377062971</v>
      </c>
      <c r="E17" s="31">
        <f>+E16/E6</f>
        <v>0.69538255301404239</v>
      </c>
      <c r="F17" s="71">
        <f t="shared" si="0"/>
        <v>0.57558022525684915</v>
      </c>
    </row>
    <row r="18" spans="2:6" hidden="1" x14ac:dyDescent="0.25">
      <c r="B18" s="5" t="s">
        <v>134</v>
      </c>
      <c r="F18" s="71"/>
    </row>
    <row r="19" spans="2:6" hidden="1" x14ac:dyDescent="0.25">
      <c r="B19" s="1" t="s">
        <v>130</v>
      </c>
      <c r="C19" s="31">
        <f>+'Análisis de comparabilidad'!F19</f>
        <v>0.2014046043116503</v>
      </c>
      <c r="D19" s="31">
        <f>+'Análisis de comparabilidad'!G19</f>
        <v>0.14290366191616174</v>
      </c>
      <c r="E19" s="31">
        <f>+'Análisis de comparabilidad'!H19</f>
        <v>0.14159523962258669</v>
      </c>
      <c r="F19" s="71">
        <f>+AVERAGE(C19:E19)</f>
        <v>0.16196783528346625</v>
      </c>
    </row>
    <row r="20" spans="2:6" hidden="1" x14ac:dyDescent="0.25">
      <c r="B20" s="1" t="s">
        <v>131</v>
      </c>
      <c r="C20" s="31">
        <f>+'Análisis de comparabilidad'!F20</f>
        <v>0.12527106150236605</v>
      </c>
      <c r="D20" s="31">
        <f>+'Análisis de comparabilidad'!G20</f>
        <v>4.9555915873293915E-2</v>
      </c>
      <c r="E20" s="31">
        <f>+'Análisis de comparabilidad'!H20</f>
        <v>6.0665424266498673E-2</v>
      </c>
      <c r="F20" s="71">
        <f>+AVERAGE(C20:E20)</f>
        <v>7.8497467214052888E-2</v>
      </c>
    </row>
    <row r="21" spans="2:6" hidden="1" x14ac:dyDescent="0.25">
      <c r="B21" s="1" t="s">
        <v>132</v>
      </c>
      <c r="C21" s="31">
        <f>+'Análisis de comparabilidad'!F21</f>
        <v>0.12168747246846989</v>
      </c>
      <c r="D21" s="31">
        <f>+'Análisis de comparabilidad'!G21</f>
        <v>3.152680399663238E-2</v>
      </c>
      <c r="E21" s="31">
        <f>+'Análisis de comparabilidad'!H21</f>
        <v>3.7795611465390712E-2</v>
      </c>
      <c r="F21" s="71">
        <f>+AVERAGE(C21:E21)</f>
        <v>6.3669962643497655E-2</v>
      </c>
    </row>
    <row r="22" spans="2:6" hidden="1" x14ac:dyDescent="0.25">
      <c r="B22" s="7" t="s">
        <v>142</v>
      </c>
      <c r="C22" s="50"/>
      <c r="D22" s="50"/>
      <c r="E22" s="50"/>
      <c r="F22" s="51"/>
    </row>
    <row r="23" spans="2:6" hidden="1" x14ac:dyDescent="0.25">
      <c r="B23" s="2" t="s">
        <v>24</v>
      </c>
      <c r="C23" s="69">
        <f>+'Análisis de comparabilidad'!E23</f>
        <v>1.096932930568959</v>
      </c>
      <c r="D23" s="69">
        <f>+'Análisis de comparabilidad'!F23</f>
        <v>1.377274724445319</v>
      </c>
      <c r="E23" s="69">
        <f>+'Análisis de comparabilidad'!G23</f>
        <v>1.6634992281670105</v>
      </c>
      <c r="F23" s="69">
        <f>+'Análisis de comparabilidad'!H23</f>
        <v>1.5376523837310161</v>
      </c>
    </row>
    <row r="24" spans="2:6" hidden="1" x14ac:dyDescent="0.25">
      <c r="C24" s="3"/>
      <c r="D24" s="3"/>
      <c r="E24" s="3"/>
      <c r="F24" s="3"/>
    </row>
    <row r="25" spans="2:6" s="82" customFormat="1" x14ac:dyDescent="0.25">
      <c r="B25" s="93" t="s">
        <v>267</v>
      </c>
      <c r="C25" s="93"/>
      <c r="D25" s="93"/>
      <c r="E25" s="93"/>
      <c r="F25" s="93"/>
    </row>
    <row r="26" spans="2:6" x14ac:dyDescent="0.25">
      <c r="F26" s="4" t="s">
        <v>52</v>
      </c>
    </row>
    <row r="27" spans="2:6" x14ac:dyDescent="0.25">
      <c r="B27" s="1" t="s">
        <v>45</v>
      </c>
      <c r="C27" s="1">
        <v>0.25</v>
      </c>
      <c r="F27" s="1" t="s">
        <v>214</v>
      </c>
    </row>
    <row r="28" spans="2:6" s="82" customFormat="1" x14ac:dyDescent="0.25">
      <c r="B28" s="84" t="s">
        <v>261</v>
      </c>
    </row>
    <row r="29" spans="2:6" x14ac:dyDescent="0.25">
      <c r="C29" s="4">
        <v>2023</v>
      </c>
      <c r="D29" s="4">
        <v>2024</v>
      </c>
      <c r="E29" s="4" t="s">
        <v>157</v>
      </c>
      <c r="F29" s="4" t="s">
        <v>52</v>
      </c>
    </row>
    <row r="30" spans="2:6" x14ac:dyDescent="0.25">
      <c r="B30" s="1" t="s">
        <v>99</v>
      </c>
      <c r="C30" s="24">
        <f>+IS!C9</f>
        <v>247924063</v>
      </c>
      <c r="D30" s="24">
        <f>+IS!D9</f>
        <v>315187523</v>
      </c>
      <c r="E30" s="52">
        <f t="shared" ref="E30:E34" si="1">+AVERAGE(C30:D30)</f>
        <v>281555793</v>
      </c>
      <c r="F30" s="1" t="s">
        <v>268</v>
      </c>
    </row>
    <row r="31" spans="2:6" x14ac:dyDescent="0.25">
      <c r="B31" s="1" t="s">
        <v>231</v>
      </c>
      <c r="C31" s="31">
        <f>+'Análisis Financiero'!D30</f>
        <v>0.11910906364905774</v>
      </c>
      <c r="D31" s="31">
        <f>+'Análisis Financiero'!E30</f>
        <v>0.11400948126998035</v>
      </c>
      <c r="E31" s="26">
        <f t="shared" si="1"/>
        <v>0.11655927245951905</v>
      </c>
      <c r="F31" s="1" t="s">
        <v>241</v>
      </c>
    </row>
    <row r="32" spans="2:6" x14ac:dyDescent="0.25">
      <c r="B32" s="1" t="s">
        <v>115</v>
      </c>
      <c r="C32" s="31">
        <f>+'Análisis Financiero'!D23</f>
        <v>2.6212695618819379E-2</v>
      </c>
      <c r="D32" s="31">
        <f>+'Análisis Financiero'!E23</f>
        <v>3.3907757192533285E-2</v>
      </c>
      <c r="E32" s="26">
        <f t="shared" si="1"/>
        <v>3.0060226405676332E-2</v>
      </c>
      <c r="F32" s="1" t="s">
        <v>241</v>
      </c>
    </row>
    <row r="33" spans="2:6" x14ac:dyDescent="0.25">
      <c r="B33" s="1" t="s">
        <v>116</v>
      </c>
      <c r="C33" s="31">
        <f>+'Análisis Financiero'!D24</f>
        <v>2.4779151832470574E-2</v>
      </c>
      <c r="D33" s="31">
        <f>+'Análisis Financiero'!E24</f>
        <v>7.6683977747431326E-2</v>
      </c>
      <c r="E33" s="26">
        <f t="shared" si="1"/>
        <v>5.0731564789950952E-2</v>
      </c>
      <c r="F33" s="1" t="s">
        <v>269</v>
      </c>
    </row>
    <row r="34" spans="2:6" x14ac:dyDescent="0.25">
      <c r="B34" s="1" t="s">
        <v>207</v>
      </c>
      <c r="C34" s="31">
        <f>+'Análisis Financiero'!D28</f>
        <v>0.17683149618276464</v>
      </c>
      <c r="D34" s="31">
        <f>+'Análisis Financiero'!E28</f>
        <v>0.15795169975684603</v>
      </c>
      <c r="E34" s="26">
        <f t="shared" si="1"/>
        <v>0.16739159796980535</v>
      </c>
      <c r="F34" s="1" t="s">
        <v>245</v>
      </c>
    </row>
    <row r="35" spans="2:6" s="82" customFormat="1" x14ac:dyDescent="0.25">
      <c r="B35" s="84" t="s">
        <v>262</v>
      </c>
    </row>
    <row r="36" spans="2:6" x14ac:dyDescent="0.25">
      <c r="C36" s="4">
        <v>2023</v>
      </c>
      <c r="D36" s="4">
        <v>2024</v>
      </c>
      <c r="E36" s="4" t="s">
        <v>157</v>
      </c>
      <c r="F36" s="4" t="s">
        <v>52</v>
      </c>
    </row>
    <row r="37" spans="2:6" x14ac:dyDescent="0.25">
      <c r="B37" s="1" t="s">
        <v>99</v>
      </c>
      <c r="C37" s="24">
        <f>+C30</f>
        <v>247924063</v>
      </c>
      <c r="D37" s="24">
        <f>+D30</f>
        <v>315187523</v>
      </c>
      <c r="E37" s="52">
        <f>+E30</f>
        <v>281555793</v>
      </c>
      <c r="F37" s="1" t="s">
        <v>273</v>
      </c>
    </row>
    <row r="38" spans="2:6" x14ac:dyDescent="0.25">
      <c r="B38" s="1" t="s">
        <v>231</v>
      </c>
      <c r="C38" s="31">
        <f>+C31</f>
        <v>0.11910906364905774</v>
      </c>
      <c r="D38" s="31">
        <f>+'Análisis Financiero'!E30</f>
        <v>0.11400948126998035</v>
      </c>
      <c r="E38" s="26">
        <f>+E31</f>
        <v>0.11655927245951905</v>
      </c>
      <c r="F38" s="1" t="s">
        <v>241</v>
      </c>
    </row>
    <row r="39" spans="2:6" x14ac:dyDescent="0.25">
      <c r="B39" s="1" t="s">
        <v>115</v>
      </c>
      <c r="C39" s="31">
        <f>+C32</f>
        <v>2.6212695618819379E-2</v>
      </c>
      <c r="D39" s="31">
        <f>+D32</f>
        <v>3.3907757192533285E-2</v>
      </c>
      <c r="E39" s="26">
        <f>+E32</f>
        <v>3.0060226405676332E-2</v>
      </c>
      <c r="F39" s="1" t="s">
        <v>241</v>
      </c>
    </row>
    <row r="40" spans="2:6" x14ac:dyDescent="0.25">
      <c r="B40" s="1" t="s">
        <v>116</v>
      </c>
      <c r="C40" s="31">
        <f>+C33</f>
        <v>2.4779151832470574E-2</v>
      </c>
      <c r="D40" s="31">
        <f>+D33</f>
        <v>7.6683977747431326E-2</v>
      </c>
      <c r="E40" s="31">
        <f>+E33</f>
        <v>5.0731564789950952E-2</v>
      </c>
      <c r="F40" s="1" t="s">
        <v>241</v>
      </c>
    </row>
    <row r="41" spans="2:6" x14ac:dyDescent="0.25">
      <c r="B41" s="1" t="s">
        <v>207</v>
      </c>
      <c r="C41" s="31">
        <f>+C34</f>
        <v>0.17683149618276464</v>
      </c>
      <c r="D41" s="31">
        <f>+D34</f>
        <v>0.15795169975684603</v>
      </c>
      <c r="E41" s="26">
        <f>+E34</f>
        <v>0.16739159796980535</v>
      </c>
      <c r="F41" s="1" t="s">
        <v>241</v>
      </c>
    </row>
    <row r="42" spans="2:6" s="82" customFormat="1" x14ac:dyDescent="0.25">
      <c r="B42" s="84" t="s">
        <v>263</v>
      </c>
    </row>
    <row r="43" spans="2:6" x14ac:dyDescent="0.25">
      <c r="C43" s="4">
        <v>2023</v>
      </c>
      <c r="D43" s="4">
        <v>2024</v>
      </c>
      <c r="E43" s="4" t="s">
        <v>157</v>
      </c>
      <c r="F43" s="4" t="s">
        <v>52</v>
      </c>
    </row>
    <row r="44" spans="2:6" x14ac:dyDescent="0.25">
      <c r="B44" s="1" t="s">
        <v>99</v>
      </c>
      <c r="C44" s="24">
        <f>+C37</f>
        <v>247924063</v>
      </c>
      <c r="D44" s="24">
        <f>+D37</f>
        <v>315187523</v>
      </c>
      <c r="E44" s="52">
        <f>+E37</f>
        <v>281555793</v>
      </c>
      <c r="F44" s="1" t="s">
        <v>272</v>
      </c>
    </row>
    <row r="45" spans="2:6" x14ac:dyDescent="0.25">
      <c r="B45" s="1" t="s">
        <v>231</v>
      </c>
      <c r="C45" s="31">
        <f>+'Análisis Financiero'!D30</f>
        <v>0.11910906364905774</v>
      </c>
      <c r="D45" s="31">
        <f>+'Análisis Financiero'!E30</f>
        <v>0.11400948126998035</v>
      </c>
      <c r="E45" s="26">
        <f>+E38</f>
        <v>0.11655927245951905</v>
      </c>
      <c r="F45" s="1" t="s">
        <v>241</v>
      </c>
    </row>
    <row r="46" spans="2:6" x14ac:dyDescent="0.25">
      <c r="B46" s="1" t="s">
        <v>115</v>
      </c>
      <c r="C46" s="31">
        <f>+C39</f>
        <v>2.6212695618819379E-2</v>
      </c>
      <c r="D46" s="31">
        <f>+D39</f>
        <v>3.3907757192533285E-2</v>
      </c>
      <c r="E46" s="26">
        <f>+E39</f>
        <v>3.0060226405676332E-2</v>
      </c>
      <c r="F46" s="1" t="s">
        <v>241</v>
      </c>
    </row>
    <row r="47" spans="2:6" x14ac:dyDescent="0.25">
      <c r="B47" s="1" t="s">
        <v>116</v>
      </c>
      <c r="C47" s="31">
        <f>+C33</f>
        <v>2.4779151832470574E-2</v>
      </c>
      <c r="D47" s="31">
        <f>+D33</f>
        <v>7.6683977747431326E-2</v>
      </c>
      <c r="E47" s="31">
        <f>+E33</f>
        <v>5.0731564789950952E-2</v>
      </c>
      <c r="F47" s="1" t="s">
        <v>271</v>
      </c>
    </row>
    <row r="48" spans="2:6" x14ac:dyDescent="0.25">
      <c r="B48" s="1" t="s">
        <v>207</v>
      </c>
      <c r="C48" s="31">
        <f>+C41</f>
        <v>0.17683149618276464</v>
      </c>
      <c r="D48" s="31">
        <f>+D41</f>
        <v>0.15795169975684603</v>
      </c>
      <c r="E48" s="26">
        <f>+E41</f>
        <v>0.16739159796980535</v>
      </c>
      <c r="F48" s="1" t="s">
        <v>244</v>
      </c>
    </row>
    <row r="49" s="82" customFormat="1" x14ac:dyDescent="0.25"/>
  </sheetData>
  <mergeCells count="2">
    <mergeCell ref="B2:F2"/>
    <mergeCell ref="B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6ED5-7AAC-4C54-9914-8D1928D2B7E3}">
  <dimension ref="B1:F55"/>
  <sheetViews>
    <sheetView topLeftCell="A25" workbookViewId="0">
      <selection activeCell="F32" sqref="F32"/>
    </sheetView>
  </sheetViews>
  <sheetFormatPr defaultRowHeight="15" x14ac:dyDescent="0.25"/>
  <cols>
    <col min="1" max="1" width="3" style="1" customWidth="1"/>
    <col min="2" max="2" width="16.42578125" style="1" bestFit="1" customWidth="1"/>
    <col min="3" max="3" width="20.85546875" style="1" customWidth="1"/>
    <col min="4" max="4" width="25.7109375" style="1" bestFit="1" customWidth="1"/>
    <col min="5" max="5" width="32.7109375" style="1" bestFit="1" customWidth="1"/>
    <col min="6" max="6" width="25.7109375" style="1" bestFit="1" customWidth="1"/>
    <col min="7" max="16384" width="9.140625" style="1"/>
  </cols>
  <sheetData>
    <row r="1" spans="2:6" hidden="1" x14ac:dyDescent="0.25"/>
    <row r="2" spans="2:6" hidden="1" x14ac:dyDescent="0.25">
      <c r="B2" s="89" t="s">
        <v>137</v>
      </c>
      <c r="C2" s="89"/>
      <c r="D2" s="89"/>
      <c r="E2" s="89"/>
      <c r="F2" s="89"/>
    </row>
    <row r="3" spans="2:6" hidden="1" x14ac:dyDescent="0.25">
      <c r="B3" s="9" t="s">
        <v>50</v>
      </c>
      <c r="C3" s="9" t="s">
        <v>58</v>
      </c>
      <c r="D3" s="9" t="s">
        <v>82</v>
      </c>
      <c r="E3" s="9" t="s">
        <v>65</v>
      </c>
      <c r="F3" s="13"/>
    </row>
    <row r="4" spans="2:6" hidden="1" x14ac:dyDescent="0.25">
      <c r="B4" s="7" t="s">
        <v>51</v>
      </c>
      <c r="C4" s="6" t="s">
        <v>59</v>
      </c>
      <c r="D4" s="6" t="s">
        <v>81</v>
      </c>
      <c r="E4" s="6" t="s">
        <v>66</v>
      </c>
      <c r="F4" s="14" t="s">
        <v>157</v>
      </c>
    </row>
    <row r="5" spans="2:6" hidden="1" x14ac:dyDescent="0.25">
      <c r="B5" s="5" t="s">
        <v>133</v>
      </c>
      <c r="F5" s="13"/>
    </row>
    <row r="6" spans="2:6" hidden="1" x14ac:dyDescent="0.25">
      <c r="B6" s="1" t="s">
        <v>99</v>
      </c>
      <c r="C6" s="24">
        <f>+'Análisis de comparabilidad'!F8</f>
        <v>2115756000</v>
      </c>
      <c r="D6" s="24">
        <f>+'Análisis de comparabilidad'!G8</f>
        <v>3509138000</v>
      </c>
      <c r="E6" s="24">
        <f>+'Análisis de comparabilidad'!H8</f>
        <v>1563548000</v>
      </c>
      <c r="F6" s="70">
        <f>+AVERAGE(C6:E6)</f>
        <v>2396147333.3333335</v>
      </c>
    </row>
    <row r="7" spans="2:6" hidden="1" x14ac:dyDescent="0.25">
      <c r="B7" s="1" t="s">
        <v>128</v>
      </c>
      <c r="C7" s="31">
        <f>+'Análisis de comparabilidad'!F9</f>
        <v>7.2774003424551606E-2</v>
      </c>
      <c r="D7" s="31">
        <f>+'Análisis de comparabilidad'!G9</f>
        <v>0.14203944102511784</v>
      </c>
      <c r="E7" s="31">
        <f>+'Análisis de comparabilidad'!H9</f>
        <v>0.16650656071959416</v>
      </c>
      <c r="F7" s="71">
        <f>+AVERAGE(C7:E7)</f>
        <v>0.12710666838975451</v>
      </c>
    </row>
    <row r="8" spans="2:6" hidden="1" x14ac:dyDescent="0.25">
      <c r="B8" s="1" t="s">
        <v>129</v>
      </c>
      <c r="C8" s="24">
        <f>+'Análisis de comparabilidad'!F10</f>
        <v>257461000</v>
      </c>
      <c r="D8" s="24">
        <f>+'Análisis de comparabilidad'!G10</f>
        <v>126346000</v>
      </c>
      <c r="E8" s="24">
        <f>+'Análisis de comparabilidad'!H10</f>
        <v>68935000</v>
      </c>
      <c r="F8" s="70">
        <f>+AVERAGE(C8:E8)</f>
        <v>150914000</v>
      </c>
    </row>
    <row r="9" spans="2:6" hidden="1" x14ac:dyDescent="0.25">
      <c r="B9" s="5" t="s">
        <v>210</v>
      </c>
      <c r="F9" s="70"/>
    </row>
    <row r="10" spans="2:6" hidden="1" x14ac:dyDescent="0.25">
      <c r="B10" s="1" t="s">
        <v>46</v>
      </c>
      <c r="C10" s="24">
        <f>+'Análisis de comparabilidad'!F12</f>
        <v>118424000</v>
      </c>
      <c r="D10" s="24">
        <f>+'Análisis de comparabilidad'!G12</f>
        <v>334162000</v>
      </c>
      <c r="E10" s="24">
        <f>+'Análisis de comparabilidad'!H12</f>
        <v>147607000</v>
      </c>
      <c r="F10" s="70">
        <f t="shared" ref="F10:F17" si="0">+AVERAGE(C10:E10)</f>
        <v>200064333.33333334</v>
      </c>
    </row>
    <row r="11" spans="2:6" hidden="1" x14ac:dyDescent="0.25">
      <c r="B11" s="1" t="s">
        <v>115</v>
      </c>
      <c r="C11" s="31">
        <f>+'Análisis de comparabilidad'!F13</f>
        <v>5.5972427822489929E-2</v>
      </c>
      <c r="D11" s="31">
        <f>+'Análisis de comparabilidad'!G13</f>
        <v>8.3382615018462544E-2</v>
      </c>
      <c r="E11" s="31">
        <f>+'Análisis de comparabilidad'!H13</f>
        <v>8.0929815356088008E-2</v>
      </c>
      <c r="F11" s="71">
        <f t="shared" si="0"/>
        <v>7.3428286065680151E-2</v>
      </c>
    </row>
    <row r="12" spans="2:6" hidden="1" x14ac:dyDescent="0.25">
      <c r="B12" s="1" t="s">
        <v>18</v>
      </c>
      <c r="C12" s="19">
        <v>1689633000</v>
      </c>
      <c r="D12" s="19">
        <v>3434877000</v>
      </c>
      <c r="E12" s="19">
        <v>1565635000</v>
      </c>
      <c r="F12" s="16">
        <f t="shared" si="0"/>
        <v>2230048333.3333335</v>
      </c>
    </row>
    <row r="13" spans="2:6" hidden="1" x14ac:dyDescent="0.25">
      <c r="B13" s="1" t="s">
        <v>208</v>
      </c>
      <c r="C13" s="31">
        <f>+C12/C6</f>
        <v>0.7985953956883497</v>
      </c>
      <c r="D13" s="31">
        <f>+D12/D6</f>
        <v>0.97883782284994203</v>
      </c>
      <c r="E13" s="31">
        <f>+E12/E6</f>
        <v>1.0013347847331837</v>
      </c>
      <c r="F13" s="71">
        <f t="shared" si="0"/>
        <v>0.92625600109049178</v>
      </c>
    </row>
    <row r="14" spans="2:6" hidden="1" x14ac:dyDescent="0.25">
      <c r="B14" s="1" t="s">
        <v>36</v>
      </c>
      <c r="C14" s="19">
        <f>+'Análisis de comparabilidad'!F14</f>
        <v>279922000</v>
      </c>
      <c r="D14" s="19">
        <f>+'Análisis de comparabilidad'!G14</f>
        <v>684704000</v>
      </c>
      <c r="E14" s="19">
        <f>+'Análisis de comparabilidad'!H14</f>
        <v>204552000</v>
      </c>
      <c r="F14" s="16">
        <f t="shared" si="0"/>
        <v>389726000</v>
      </c>
    </row>
    <row r="15" spans="2:6" hidden="1" x14ac:dyDescent="0.25">
      <c r="B15" s="1" t="s">
        <v>116</v>
      </c>
      <c r="C15" s="31">
        <f>+C14/C6</f>
        <v>0.13230353594648911</v>
      </c>
      <c r="D15" s="31">
        <f>+D14/D6</f>
        <v>0.1951202831008641</v>
      </c>
      <c r="E15" s="31">
        <f>+E14/E6</f>
        <v>0.13082553269870834</v>
      </c>
      <c r="F15" s="71">
        <f t="shared" si="0"/>
        <v>0.15274978391535385</v>
      </c>
    </row>
    <row r="16" spans="2:6" hidden="1" x14ac:dyDescent="0.25">
      <c r="B16" s="1" t="s">
        <v>211</v>
      </c>
      <c r="C16" s="19">
        <f>+'Análisis de comparabilidad'!F16</f>
        <v>1124402000</v>
      </c>
      <c r="D16" s="19">
        <f>+'Análisis de comparabilidad'!G16</f>
        <v>1754274000</v>
      </c>
      <c r="E16" s="19">
        <f>+'Análisis de comparabilidad'!H16</f>
        <v>1087264000</v>
      </c>
      <c r="F16" s="16">
        <f t="shared" si="0"/>
        <v>1321980000</v>
      </c>
    </row>
    <row r="17" spans="2:6" hidden="1" x14ac:dyDescent="0.25">
      <c r="B17" s="1" t="s">
        <v>117</v>
      </c>
      <c r="C17" s="31">
        <f>+C16/C6</f>
        <v>0.53144218898587547</v>
      </c>
      <c r="D17" s="31">
        <f>+D16/D6</f>
        <v>0.49991593377062971</v>
      </c>
      <c r="E17" s="31">
        <f>+E16/E6</f>
        <v>0.69538255301404239</v>
      </c>
      <c r="F17" s="71">
        <f t="shared" si="0"/>
        <v>0.57558022525684915</v>
      </c>
    </row>
    <row r="18" spans="2:6" hidden="1" x14ac:dyDescent="0.25">
      <c r="B18" s="5" t="s">
        <v>134</v>
      </c>
      <c r="F18" s="71"/>
    </row>
    <row r="19" spans="2:6" hidden="1" x14ac:dyDescent="0.25">
      <c r="B19" s="1" t="s">
        <v>130</v>
      </c>
      <c r="C19" s="31">
        <f>+'Análisis de comparabilidad'!F19</f>
        <v>0.2014046043116503</v>
      </c>
      <c r="D19" s="31">
        <f>+'Análisis de comparabilidad'!G19</f>
        <v>0.14290366191616174</v>
      </c>
      <c r="E19" s="31">
        <f>+'Análisis de comparabilidad'!H19</f>
        <v>0.14159523962258669</v>
      </c>
      <c r="F19" s="71">
        <f>+AVERAGE(C19:E19)</f>
        <v>0.16196783528346625</v>
      </c>
    </row>
    <row r="20" spans="2:6" hidden="1" x14ac:dyDescent="0.25">
      <c r="B20" s="1" t="s">
        <v>131</v>
      </c>
      <c r="C20" s="31">
        <f>+'Análisis de comparabilidad'!F20</f>
        <v>0.12527106150236605</v>
      </c>
      <c r="D20" s="31">
        <f>+'Análisis de comparabilidad'!G20</f>
        <v>4.9555915873293915E-2</v>
      </c>
      <c r="E20" s="31">
        <f>+'Análisis de comparabilidad'!H20</f>
        <v>6.0665424266498673E-2</v>
      </c>
      <c r="F20" s="71">
        <f>+AVERAGE(C20:E20)</f>
        <v>7.8497467214052888E-2</v>
      </c>
    </row>
    <row r="21" spans="2:6" hidden="1" x14ac:dyDescent="0.25">
      <c r="B21" s="1" t="s">
        <v>132</v>
      </c>
      <c r="C21" s="31">
        <f>+'Análisis de comparabilidad'!F21</f>
        <v>0.12168747246846989</v>
      </c>
      <c r="D21" s="31">
        <f>+'Análisis de comparabilidad'!G21</f>
        <v>3.152680399663238E-2</v>
      </c>
      <c r="E21" s="31">
        <f>+'Análisis de comparabilidad'!H21</f>
        <v>3.7795611465390712E-2</v>
      </c>
      <c r="F21" s="71">
        <f>+AVERAGE(C21:E21)</f>
        <v>6.3669962643497655E-2</v>
      </c>
    </row>
    <row r="22" spans="2:6" hidden="1" x14ac:dyDescent="0.25">
      <c r="B22" s="7" t="s">
        <v>142</v>
      </c>
      <c r="C22" s="50"/>
      <c r="D22" s="50"/>
      <c r="E22" s="50"/>
      <c r="F22" s="51"/>
    </row>
    <row r="23" spans="2:6" hidden="1" x14ac:dyDescent="0.25">
      <c r="B23" s="2" t="s">
        <v>24</v>
      </c>
      <c r="C23" s="69">
        <f>+'Análisis de comparabilidad'!E23</f>
        <v>1.096932930568959</v>
      </c>
      <c r="D23" s="69">
        <f>+'Análisis de comparabilidad'!F23</f>
        <v>1.377274724445319</v>
      </c>
      <c r="E23" s="69">
        <f>+'Análisis de comparabilidad'!G23</f>
        <v>1.6634992281670105</v>
      </c>
      <c r="F23" s="69">
        <f>+'Análisis de comparabilidad'!H23</f>
        <v>1.5376523837310161</v>
      </c>
    </row>
    <row r="24" spans="2:6" hidden="1" x14ac:dyDescent="0.25">
      <c r="C24" s="3"/>
      <c r="D24" s="3"/>
      <c r="E24" s="3"/>
      <c r="F24" s="3"/>
    </row>
    <row r="25" spans="2:6" s="53" customFormat="1" x14ac:dyDescent="0.25">
      <c r="B25" s="94" t="s">
        <v>222</v>
      </c>
      <c r="C25" s="94"/>
      <c r="D25" s="94"/>
      <c r="E25" s="94"/>
      <c r="F25" s="94"/>
    </row>
    <row r="26" spans="2:6" x14ac:dyDescent="0.25">
      <c r="F26" s="4" t="s">
        <v>52</v>
      </c>
    </row>
    <row r="27" spans="2:6" x14ac:dyDescent="0.25">
      <c r="B27" s="1" t="s">
        <v>45</v>
      </c>
      <c r="C27" s="1">
        <v>0.25</v>
      </c>
      <c r="F27" s="1" t="s">
        <v>214</v>
      </c>
    </row>
    <row r="28" spans="2:6" s="53" customFormat="1" x14ac:dyDescent="0.25">
      <c r="B28" s="74" t="s">
        <v>261</v>
      </c>
    </row>
    <row r="29" spans="2:6" x14ac:dyDescent="0.25">
      <c r="C29" s="4">
        <v>2023</v>
      </c>
      <c r="D29" s="4">
        <v>2024</v>
      </c>
      <c r="E29" s="4" t="s">
        <v>157</v>
      </c>
      <c r="F29" s="4" t="s">
        <v>52</v>
      </c>
    </row>
    <row r="30" spans="2:6" x14ac:dyDescent="0.25">
      <c r="B30" s="1" t="s">
        <v>99</v>
      </c>
      <c r="C30" s="24">
        <f>+IS!C9</f>
        <v>247924063</v>
      </c>
      <c r="D30" s="24">
        <f>+IS!D9</f>
        <v>315187523</v>
      </c>
      <c r="E30" s="52">
        <f t="shared" ref="E30:E36" si="1">+AVERAGE(C30:D30)</f>
        <v>281555793</v>
      </c>
      <c r="F30" s="1" t="s">
        <v>233</v>
      </c>
    </row>
    <row r="31" spans="2:6" x14ac:dyDescent="0.25">
      <c r="B31" s="1" t="s">
        <v>231</v>
      </c>
      <c r="C31" s="31">
        <f>+'Análisis Financiero'!D30</f>
        <v>0.11910906364905774</v>
      </c>
      <c r="D31" s="31">
        <f>+'Análisis Financiero'!E30</f>
        <v>0.11400948126998035</v>
      </c>
      <c r="E31" s="26">
        <f t="shared" si="1"/>
        <v>0.11655927245951905</v>
      </c>
      <c r="F31" s="1" t="s">
        <v>239</v>
      </c>
    </row>
    <row r="32" spans="2:6" x14ac:dyDescent="0.25">
      <c r="B32" s="1" t="s">
        <v>264</v>
      </c>
      <c r="C32" s="31">
        <f>+'Análisis Financiero'!D29</f>
        <v>0.17227530673373967</v>
      </c>
      <c r="D32" s="31">
        <f>+'Análisis Financiero'!E29</f>
        <v>0.17322421738121913</v>
      </c>
      <c r="E32" s="26">
        <f t="shared" si="1"/>
        <v>0.17274976205747938</v>
      </c>
      <c r="F32" s="1" t="s">
        <v>240</v>
      </c>
    </row>
    <row r="33" spans="2:6" x14ac:dyDescent="0.25">
      <c r="B33" s="1" t="s">
        <v>115</v>
      </c>
      <c r="C33" s="31">
        <f>+'Análisis Financiero'!D23</f>
        <v>2.6212695618819379E-2</v>
      </c>
      <c r="D33" s="31">
        <f>+'Análisis Financiero'!E23</f>
        <v>3.3907757192533285E-2</v>
      </c>
      <c r="E33" s="26">
        <f t="shared" si="1"/>
        <v>3.0060226405676332E-2</v>
      </c>
      <c r="F33" s="1" t="s">
        <v>241</v>
      </c>
    </row>
    <row r="34" spans="2:6" x14ac:dyDescent="0.25">
      <c r="B34" s="1" t="s">
        <v>206</v>
      </c>
      <c r="C34" s="31">
        <f>+'Análisis Financiero'!D27</f>
        <v>5.3166243084681944E-2</v>
      </c>
      <c r="D34" s="31">
        <f>+'Análisis Financiero'!E27</f>
        <v>5.9214736111238772E-2</v>
      </c>
      <c r="E34" s="26">
        <f t="shared" si="1"/>
        <v>5.6190489597960358E-2</v>
      </c>
      <c r="F34" s="1" t="s">
        <v>241</v>
      </c>
    </row>
    <row r="35" spans="2:6" x14ac:dyDescent="0.25">
      <c r="B35" s="1" t="s">
        <v>116</v>
      </c>
      <c r="C35" s="31">
        <f>+'Análisis Financiero'!D24</f>
        <v>2.4779151832470574E-2</v>
      </c>
      <c r="D35" s="31">
        <f>+'Análisis Financiero'!E24</f>
        <v>7.6683977747431326E-2</v>
      </c>
      <c r="E35" s="26">
        <f t="shared" si="1"/>
        <v>5.0731564789950952E-2</v>
      </c>
      <c r="F35" s="1" t="s">
        <v>242</v>
      </c>
    </row>
    <row r="36" spans="2:6" x14ac:dyDescent="0.25">
      <c r="B36" s="1" t="s">
        <v>207</v>
      </c>
      <c r="C36" s="31">
        <f>+'Análisis Financiero'!D28</f>
        <v>0.17683149618276464</v>
      </c>
      <c r="D36" s="31">
        <f>+'Análisis Financiero'!E28</f>
        <v>0.15795169975684603</v>
      </c>
      <c r="E36" s="26">
        <f t="shared" si="1"/>
        <v>0.16739159796980535</v>
      </c>
      <c r="F36" s="1" t="s">
        <v>245</v>
      </c>
    </row>
    <row r="37" spans="2:6" s="53" customFormat="1" x14ac:dyDescent="0.25">
      <c r="B37" s="74" t="s">
        <v>262</v>
      </c>
    </row>
    <row r="38" spans="2:6" x14ac:dyDescent="0.25">
      <c r="C38" s="4">
        <v>2023</v>
      </c>
      <c r="D38" s="4">
        <v>2024</v>
      </c>
      <c r="E38" s="4" t="s">
        <v>157</v>
      </c>
      <c r="F38" s="4" t="s">
        <v>52</v>
      </c>
    </row>
    <row r="39" spans="2:6" x14ac:dyDescent="0.25">
      <c r="B39" s="1" t="s">
        <v>99</v>
      </c>
      <c r="C39" s="24">
        <f>+C30</f>
        <v>247924063</v>
      </c>
      <c r="D39" s="24">
        <f>+D30</f>
        <v>315187523</v>
      </c>
      <c r="E39" s="52">
        <f>+E30</f>
        <v>281555793</v>
      </c>
      <c r="F39" s="1" t="s">
        <v>266</v>
      </c>
    </row>
    <row r="40" spans="2:6" x14ac:dyDescent="0.25">
      <c r="B40" s="1" t="s">
        <v>231</v>
      </c>
      <c r="C40" s="31">
        <f t="shared" ref="C40:C45" si="2">+C31</f>
        <v>0.11910906364905774</v>
      </c>
      <c r="D40" s="31">
        <f>+'Análisis Financiero'!E30</f>
        <v>0.11400948126998035</v>
      </c>
      <c r="E40" s="26">
        <f t="shared" ref="E40:E45" si="3">+E31</f>
        <v>0.11655927245951905</v>
      </c>
      <c r="F40" s="1" t="s">
        <v>238</v>
      </c>
    </row>
    <row r="41" spans="2:6" x14ac:dyDescent="0.25">
      <c r="B41" s="1" t="s">
        <v>264</v>
      </c>
      <c r="C41" s="31">
        <f t="shared" si="2"/>
        <v>0.17227530673373967</v>
      </c>
      <c r="D41" s="31">
        <f>+D32</f>
        <v>0.17322421738121913</v>
      </c>
      <c r="E41" s="26">
        <f t="shared" si="3"/>
        <v>0.17274976205747938</v>
      </c>
      <c r="F41" s="1" t="s">
        <v>238</v>
      </c>
    </row>
    <row r="42" spans="2:6" x14ac:dyDescent="0.25">
      <c r="B42" s="1" t="s">
        <v>115</v>
      </c>
      <c r="C42" s="31">
        <f t="shared" si="2"/>
        <v>2.6212695618819379E-2</v>
      </c>
      <c r="D42" s="31">
        <f>+D33</f>
        <v>3.3907757192533285E-2</v>
      </c>
      <c r="E42" s="26">
        <f t="shared" si="3"/>
        <v>3.0060226405676332E-2</v>
      </c>
      <c r="F42" s="1" t="s">
        <v>241</v>
      </c>
    </row>
    <row r="43" spans="2:6" x14ac:dyDescent="0.25">
      <c r="B43" s="1" t="s">
        <v>206</v>
      </c>
      <c r="C43" s="31">
        <f t="shared" si="2"/>
        <v>5.3166243084681944E-2</v>
      </c>
      <c r="D43" s="31">
        <f>+D34</f>
        <v>5.9214736111238772E-2</v>
      </c>
      <c r="E43" s="26">
        <f t="shared" si="3"/>
        <v>5.6190489597960358E-2</v>
      </c>
      <c r="F43" s="1" t="s">
        <v>241</v>
      </c>
    </row>
    <row r="44" spans="2:6" x14ac:dyDescent="0.25">
      <c r="B44" s="1" t="s">
        <v>116</v>
      </c>
      <c r="C44" s="31">
        <f t="shared" si="2"/>
        <v>2.4779151832470574E-2</v>
      </c>
      <c r="D44" s="31">
        <f>+D35</f>
        <v>7.6683977747431326E-2</v>
      </c>
      <c r="E44" s="31">
        <f t="shared" si="3"/>
        <v>5.0731564789950952E-2</v>
      </c>
      <c r="F44" s="1" t="s">
        <v>241</v>
      </c>
    </row>
    <row r="45" spans="2:6" x14ac:dyDescent="0.25">
      <c r="B45" s="1" t="s">
        <v>207</v>
      </c>
      <c r="C45" s="31">
        <f t="shared" si="2"/>
        <v>0.17683149618276464</v>
      </c>
      <c r="D45" s="31">
        <f>+D36</f>
        <v>0.15795169975684603</v>
      </c>
      <c r="E45" s="26">
        <f t="shared" si="3"/>
        <v>0.16739159796980535</v>
      </c>
      <c r="F45" s="1" t="s">
        <v>241</v>
      </c>
    </row>
    <row r="46" spans="2:6" s="53" customFormat="1" x14ac:dyDescent="0.25">
      <c r="B46" s="74" t="s">
        <v>263</v>
      </c>
    </row>
    <row r="47" spans="2:6" x14ac:dyDescent="0.25">
      <c r="C47" s="4">
        <v>2023</v>
      </c>
      <c r="D47" s="4">
        <v>2024</v>
      </c>
      <c r="E47" s="4" t="s">
        <v>157</v>
      </c>
      <c r="F47" s="4" t="s">
        <v>52</v>
      </c>
    </row>
    <row r="48" spans="2:6" x14ac:dyDescent="0.25">
      <c r="B48" s="1" t="s">
        <v>99</v>
      </c>
      <c r="C48" s="24">
        <f>+C39</f>
        <v>247924063</v>
      </c>
      <c r="D48" s="24">
        <f>+D39</f>
        <v>315187523</v>
      </c>
      <c r="E48" s="52">
        <f>+E39</f>
        <v>281555793</v>
      </c>
      <c r="F48" s="1" t="s">
        <v>232</v>
      </c>
    </row>
    <row r="49" spans="2:6" x14ac:dyDescent="0.25">
      <c r="B49" s="1" t="s">
        <v>231</v>
      </c>
      <c r="C49" s="31">
        <f>+'Análisis Financiero'!D30</f>
        <v>0.11910906364905774</v>
      </c>
      <c r="D49" s="31">
        <f>+'Análisis Financiero'!E30</f>
        <v>0.11400948126998035</v>
      </c>
      <c r="E49" s="26">
        <f>+E40</f>
        <v>0.11655927245951905</v>
      </c>
      <c r="F49" s="1" t="s">
        <v>239</v>
      </c>
    </row>
    <row r="50" spans="2:6" x14ac:dyDescent="0.25">
      <c r="B50" s="1" t="s">
        <v>264</v>
      </c>
      <c r="C50" s="31">
        <f>+C32</f>
        <v>0.17227530673373967</v>
      </c>
      <c r="D50" s="31">
        <f>+D32</f>
        <v>0.17322421738121913</v>
      </c>
      <c r="E50" s="26">
        <f>+E41</f>
        <v>0.17274976205747938</v>
      </c>
      <c r="F50" s="1" t="s">
        <v>239</v>
      </c>
    </row>
    <row r="51" spans="2:6" x14ac:dyDescent="0.25">
      <c r="B51" s="1" t="s">
        <v>115</v>
      </c>
      <c r="C51" s="31">
        <f>+C42</f>
        <v>2.6212695618819379E-2</v>
      </c>
      <c r="D51" s="31">
        <f>+D42</f>
        <v>3.3907757192533285E-2</v>
      </c>
      <c r="E51" s="26">
        <f>+E42</f>
        <v>3.0060226405676332E-2</v>
      </c>
      <c r="F51" s="1" t="s">
        <v>241</v>
      </c>
    </row>
    <row r="52" spans="2:6" x14ac:dyDescent="0.25">
      <c r="B52" s="1" t="s">
        <v>206</v>
      </c>
      <c r="C52" s="31">
        <f>+C43</f>
        <v>5.3166243084681944E-2</v>
      </c>
      <c r="D52" s="31">
        <f>+D43</f>
        <v>5.9214736111238772E-2</v>
      </c>
      <c r="E52" s="26">
        <f>+E43</f>
        <v>5.6190489597960358E-2</v>
      </c>
      <c r="F52" s="1" t="s">
        <v>241</v>
      </c>
    </row>
    <row r="53" spans="2:6" x14ac:dyDescent="0.25">
      <c r="B53" s="1" t="s">
        <v>116</v>
      </c>
      <c r="C53" s="31">
        <f>+C35</f>
        <v>2.4779151832470574E-2</v>
      </c>
      <c r="D53" s="31">
        <f>+D35</f>
        <v>7.6683977747431326E-2</v>
      </c>
      <c r="E53" s="31">
        <f>+E35</f>
        <v>5.0731564789950952E-2</v>
      </c>
      <c r="F53" s="1" t="s">
        <v>243</v>
      </c>
    </row>
    <row r="54" spans="2:6" x14ac:dyDescent="0.25">
      <c r="B54" s="1" t="s">
        <v>207</v>
      </c>
      <c r="C54" s="31">
        <f>+C45</f>
        <v>0.17683149618276464</v>
      </c>
      <c r="D54" s="31">
        <f>+D45</f>
        <v>0.15795169975684603</v>
      </c>
      <c r="E54" s="26">
        <f>+E45</f>
        <v>0.16739159796980535</v>
      </c>
      <c r="F54" s="1" t="s">
        <v>244</v>
      </c>
    </row>
    <row r="55" spans="2:6" s="53" customFormat="1" x14ac:dyDescent="0.25"/>
  </sheetData>
  <mergeCells count="2">
    <mergeCell ref="B2:F2"/>
    <mergeCell ref="B25:F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579BE-21AA-464A-B528-C5DA4DF5370A}">
  <dimension ref="B1:N38"/>
  <sheetViews>
    <sheetView workbookViewId="0"/>
  </sheetViews>
  <sheetFormatPr defaultRowHeight="15" x14ac:dyDescent="0.25"/>
  <cols>
    <col min="1" max="1" width="3" style="1" customWidth="1"/>
    <col min="2" max="2" width="21.42578125" style="1" customWidth="1"/>
    <col min="3" max="3" width="18" style="1" bestFit="1" customWidth="1"/>
    <col min="4" max="4" width="18.7109375" style="1" bestFit="1" customWidth="1"/>
    <col min="5" max="5" width="17.28515625" style="1" customWidth="1"/>
    <col min="6" max="6" width="17" style="1" bestFit="1" customWidth="1"/>
    <col min="7" max="7" width="16.28515625" style="1" bestFit="1" customWidth="1"/>
    <col min="8" max="8" width="17" style="1" bestFit="1" customWidth="1"/>
    <col min="9" max="9" width="19" style="1" bestFit="1" customWidth="1"/>
    <col min="10" max="14" width="18" style="1" bestFit="1" customWidth="1"/>
    <col min="15" max="16384" width="9.140625" style="1"/>
  </cols>
  <sheetData>
    <row r="1" spans="2:14" x14ac:dyDescent="0.25">
      <c r="B1" s="4" t="s">
        <v>247</v>
      </c>
    </row>
    <row r="2" spans="2:14" x14ac:dyDescent="0.25">
      <c r="B2" s="6" t="s">
        <v>285</v>
      </c>
      <c r="C2" s="2"/>
    </row>
    <row r="3" spans="2:14" x14ac:dyDescent="0.25">
      <c r="B3" s="97" t="s">
        <v>223</v>
      </c>
      <c r="C3" s="33">
        <f>+WACC!G44</f>
        <v>0.10432764266793372</v>
      </c>
      <c r="D3" s="98"/>
      <c r="E3" s="98"/>
      <c r="F3" s="99"/>
    </row>
    <row r="4" spans="2:14" s="98" customFormat="1" x14ac:dyDescent="0.25">
      <c r="B4" s="97" t="s">
        <v>284</v>
      </c>
      <c r="C4" s="33">
        <v>0.02</v>
      </c>
      <c r="F4" s="99"/>
    </row>
    <row r="5" spans="2:14" s="98" customFormat="1" x14ac:dyDescent="0.25">
      <c r="B5" s="95" t="s">
        <v>45</v>
      </c>
      <c r="C5" s="96">
        <f>+'Análisis Financiero'!C15</f>
        <v>0.25</v>
      </c>
      <c r="D5" s="2"/>
      <c r="E5" s="2"/>
      <c r="F5" s="6"/>
    </row>
    <row r="6" spans="2:14" x14ac:dyDescent="0.25">
      <c r="B6" s="6" t="s">
        <v>287</v>
      </c>
      <c r="C6" s="100">
        <v>2023</v>
      </c>
      <c r="D6" s="100">
        <v>2024</v>
      </c>
      <c r="E6" s="6" t="s">
        <v>157</v>
      </c>
      <c r="F6" s="6" t="s">
        <v>234</v>
      </c>
    </row>
    <row r="7" spans="2:14" x14ac:dyDescent="0.25">
      <c r="B7" s="1" t="s">
        <v>231</v>
      </c>
      <c r="C7" s="31">
        <f>+C17</f>
        <v>0.11910906364905774</v>
      </c>
      <c r="D7" s="31">
        <f>+D17</f>
        <v>0.11400948126998035</v>
      </c>
      <c r="E7" s="75">
        <f>+AVERAGE(C7:D7)</f>
        <v>0.11655927245951905</v>
      </c>
      <c r="F7" s="73">
        <f>+E7</f>
        <v>0.11655927245951905</v>
      </c>
      <c r="G7" s="4"/>
      <c r="H7" s="4"/>
      <c r="I7" s="4"/>
      <c r="J7" s="4"/>
      <c r="K7" s="4"/>
      <c r="L7" s="4"/>
      <c r="M7" s="4"/>
      <c r="N7" s="4"/>
    </row>
    <row r="8" spans="2:14" x14ac:dyDescent="0.25">
      <c r="B8" s="1" t="s">
        <v>116</v>
      </c>
      <c r="C8" s="31">
        <f>+C21</f>
        <v>2.4779151832470574E-2</v>
      </c>
      <c r="D8" s="31">
        <f>+D21</f>
        <v>7.6683977747431326E-2</v>
      </c>
      <c r="E8" s="75">
        <f t="shared" ref="E8:E9" si="0">+AVERAGE(C8:D8)</f>
        <v>5.0731564789950952E-2</v>
      </c>
      <c r="F8" s="73">
        <f>+E8+0.93%</f>
        <v>6.0031564789950954E-2</v>
      </c>
      <c r="G8" s="4"/>
      <c r="H8" s="4"/>
      <c r="I8" s="4"/>
      <c r="J8" s="4"/>
      <c r="K8" s="4"/>
      <c r="L8" s="4"/>
      <c r="M8" s="4"/>
      <c r="N8" s="4"/>
    </row>
    <row r="9" spans="2:14" x14ac:dyDescent="0.25">
      <c r="B9" s="1" t="s">
        <v>207</v>
      </c>
      <c r="C9" s="31">
        <f>+C23</f>
        <v>0.17683149618276464</v>
      </c>
      <c r="D9" s="31">
        <f>+D23</f>
        <v>0.15795169975684603</v>
      </c>
      <c r="E9" s="75">
        <f t="shared" si="0"/>
        <v>0.16739159796980535</v>
      </c>
      <c r="F9" s="73">
        <f>+E9+0.26%</f>
        <v>0.16999159796980534</v>
      </c>
      <c r="G9" s="4"/>
      <c r="H9" s="4"/>
      <c r="I9" s="4"/>
      <c r="J9" s="4"/>
      <c r="K9" s="4"/>
      <c r="L9" s="4"/>
      <c r="M9" s="4"/>
      <c r="N9" s="4"/>
    </row>
    <row r="10" spans="2:14" x14ac:dyDescent="0.25">
      <c r="C10" s="31"/>
      <c r="D10" s="32"/>
      <c r="E10" s="32"/>
      <c r="F10" s="32"/>
      <c r="G10" s="32"/>
      <c r="H10" s="32"/>
      <c r="I10" s="32"/>
      <c r="J10" s="32"/>
      <c r="K10" s="32"/>
      <c r="L10" s="32"/>
      <c r="M10" s="32"/>
      <c r="N10" s="32"/>
    </row>
    <row r="11" spans="2:14" x14ac:dyDescent="0.25">
      <c r="B11" s="4" t="s">
        <v>286</v>
      </c>
      <c r="C11" s="31"/>
      <c r="D11" s="32"/>
      <c r="E11" s="32"/>
      <c r="F11" s="32"/>
      <c r="G11" s="32"/>
      <c r="H11" s="32"/>
      <c r="I11" s="32"/>
      <c r="J11" s="32"/>
      <c r="K11" s="32"/>
      <c r="L11" s="32"/>
      <c r="M11" s="32"/>
      <c r="N11" s="32"/>
    </row>
    <row r="12" spans="2:14" x14ac:dyDescent="0.25">
      <c r="B12" s="101">
        <f>+(D15-C4)/(11-1)</f>
        <v>2.5130670248817273E-2</v>
      </c>
      <c r="C12" s="31"/>
      <c r="D12" s="32"/>
      <c r="E12" s="32"/>
      <c r="F12" s="32"/>
      <c r="G12" s="32"/>
      <c r="H12" s="32"/>
      <c r="I12" s="32"/>
      <c r="J12" s="32"/>
      <c r="K12" s="32"/>
      <c r="L12" s="32"/>
      <c r="M12" s="32"/>
      <c r="N12" s="32"/>
    </row>
    <row r="13" spans="2:14" x14ac:dyDescent="0.25">
      <c r="C13" s="2"/>
      <c r="D13" s="6">
        <v>0</v>
      </c>
      <c r="E13" s="6">
        <v>1</v>
      </c>
      <c r="F13" s="6">
        <v>2</v>
      </c>
      <c r="G13" s="6">
        <v>3</v>
      </c>
      <c r="H13" s="6">
        <v>4</v>
      </c>
      <c r="I13" s="6">
        <v>5</v>
      </c>
      <c r="J13" s="6">
        <v>6</v>
      </c>
      <c r="K13" s="6">
        <v>7</v>
      </c>
      <c r="L13" s="6">
        <v>8</v>
      </c>
      <c r="M13" s="6">
        <v>9</v>
      </c>
      <c r="N13" s="9">
        <v>10</v>
      </c>
    </row>
    <row r="14" spans="2:14" x14ac:dyDescent="0.25">
      <c r="C14" s="6">
        <v>2023</v>
      </c>
      <c r="D14" s="6">
        <v>2024</v>
      </c>
      <c r="E14" s="6">
        <v>2025</v>
      </c>
      <c r="F14" s="6">
        <v>2026</v>
      </c>
      <c r="G14" s="6">
        <v>2027</v>
      </c>
      <c r="H14" s="6">
        <v>2028</v>
      </c>
      <c r="I14" s="6">
        <v>2029</v>
      </c>
      <c r="J14" s="6">
        <v>2030</v>
      </c>
      <c r="K14" s="6">
        <v>2031</v>
      </c>
      <c r="L14" s="6">
        <v>2032</v>
      </c>
      <c r="M14" s="6">
        <v>2033</v>
      </c>
      <c r="N14" s="9">
        <v>2034</v>
      </c>
    </row>
    <row r="15" spans="2:14" x14ac:dyDescent="0.25">
      <c r="B15" s="1" t="s">
        <v>221</v>
      </c>
      <c r="C15" s="24"/>
      <c r="D15" s="26">
        <f>+(D16-C16)/C16</f>
        <v>0.27130670248817274</v>
      </c>
      <c r="E15" s="26">
        <f>+D15-$B$12</f>
        <v>0.24617603223935547</v>
      </c>
      <c r="F15" s="26">
        <f t="shared" ref="F15:N15" si="1">+E15-$B$12</f>
        <v>0.2210453619905382</v>
      </c>
      <c r="G15" s="26">
        <f t="shared" si="1"/>
        <v>0.19591469174172094</v>
      </c>
      <c r="H15" s="26">
        <f t="shared" si="1"/>
        <v>0.17078402149290367</v>
      </c>
      <c r="I15" s="26">
        <f t="shared" si="1"/>
        <v>0.1456533512440864</v>
      </c>
      <c r="J15" s="26">
        <f t="shared" si="1"/>
        <v>0.12052268099526914</v>
      </c>
      <c r="K15" s="26">
        <f t="shared" si="1"/>
        <v>9.5392010746451872E-2</v>
      </c>
      <c r="L15" s="26">
        <f t="shared" si="1"/>
        <v>7.0261340497634606E-2</v>
      </c>
      <c r="M15" s="26">
        <f t="shared" si="1"/>
        <v>4.5130670248817333E-2</v>
      </c>
      <c r="N15" s="26">
        <f t="shared" si="1"/>
        <v>2.0000000000000059E-2</v>
      </c>
    </row>
    <row r="16" spans="2:14" x14ac:dyDescent="0.25">
      <c r="B16" s="1" t="s">
        <v>99</v>
      </c>
      <c r="C16" s="15">
        <f>+IS!C9</f>
        <v>247924063</v>
      </c>
      <c r="D16" s="15">
        <f>+IS!D9</f>
        <v>315187523</v>
      </c>
      <c r="E16" s="15">
        <f>+D16*D15+D16</f>
        <v>400700010.53054512</v>
      </c>
      <c r="F16" s="15">
        <f t="shared" ref="F16:N16" si="2">+E16*E15+E16</f>
        <v>499342749.24122268</v>
      </c>
      <c r="G16" s="15">
        <f t="shared" si="2"/>
        <v>609720148.00459933</v>
      </c>
      <c r="H16" s="15">
        <f t="shared" si="2"/>
        <v>729173282.84963691</v>
      </c>
      <c r="I16" s="15">
        <f t="shared" si="2"/>
        <v>853704428.45988047</v>
      </c>
      <c r="J16" s="15">
        <f t="shared" si="2"/>
        <v>978049339.43697953</v>
      </c>
      <c r="K16" s="15">
        <f t="shared" si="2"/>
        <v>1095926467.9715762</v>
      </c>
      <c r="L16" s="15">
        <f t="shared" si="2"/>
        <v>1200469097.3816419</v>
      </c>
      <c r="M16" s="15">
        <f t="shared" si="2"/>
        <v>1284815665.3896616</v>
      </c>
      <c r="N16" s="15">
        <f t="shared" si="2"/>
        <v>1342800257.5148771</v>
      </c>
    </row>
    <row r="17" spans="2:14" x14ac:dyDescent="0.25">
      <c r="B17" s="1" t="s">
        <v>231</v>
      </c>
      <c r="C17" s="26">
        <f>+C18/C16</f>
        <v>0.11910906364905774</v>
      </c>
      <c r="D17" s="26">
        <f>+D18/D16</f>
        <v>0.11400948126998035</v>
      </c>
      <c r="E17" s="26">
        <f>+$F$7</f>
        <v>0.11655927245951905</v>
      </c>
      <c r="F17" s="26">
        <f t="shared" ref="F17:N17" si="3">+$F$7</f>
        <v>0.11655927245951905</v>
      </c>
      <c r="G17" s="26">
        <f t="shared" si="3"/>
        <v>0.11655927245951905</v>
      </c>
      <c r="H17" s="26">
        <f t="shared" si="3"/>
        <v>0.11655927245951905</v>
      </c>
      <c r="I17" s="26">
        <f t="shared" si="3"/>
        <v>0.11655927245951905</v>
      </c>
      <c r="J17" s="26">
        <f t="shared" si="3"/>
        <v>0.11655927245951905</v>
      </c>
      <c r="K17" s="26">
        <f t="shared" si="3"/>
        <v>0.11655927245951905</v>
      </c>
      <c r="L17" s="26">
        <f t="shared" si="3"/>
        <v>0.11655927245951905</v>
      </c>
      <c r="M17" s="26">
        <f t="shared" si="3"/>
        <v>0.11655927245951905</v>
      </c>
      <c r="N17" s="26">
        <f t="shared" si="3"/>
        <v>0.11655927245951905</v>
      </c>
    </row>
    <row r="18" spans="2:14" x14ac:dyDescent="0.25">
      <c r="B18" s="1" t="s">
        <v>155</v>
      </c>
      <c r="C18" s="24">
        <f>+IS!C16</f>
        <v>29530003</v>
      </c>
      <c r="D18" s="24">
        <f>+IS!D16</f>
        <v>35934366</v>
      </c>
      <c r="E18" s="15">
        <f>+E16*E17</f>
        <v>46705301.701961964</v>
      </c>
      <c r="F18" s="15">
        <f>+F16*F17</f>
        <v>58203027.559492975</v>
      </c>
      <c r="G18" s="15">
        <f>+G16*G17</f>
        <v>71068536.855326369</v>
      </c>
      <c r="H18" s="15">
        <f>+H16*H17</f>
        <v>84991907.345872775</v>
      </c>
      <c r="I18" s="15">
        <f>+I16*I17</f>
        <v>99507167.076753199</v>
      </c>
      <c r="J18" s="15">
        <f>+J16*J17</f>
        <v>114000719.43428753</v>
      </c>
      <c r="K18" s="15">
        <f>+K16*K17</f>
        <v>127740391.77589734</v>
      </c>
      <c r="L18" s="15">
        <f>+L16*L17</f>
        <v>139925804.60093969</v>
      </c>
      <c r="M18" s="15">
        <f>+M16*M17</f>
        <v>149757179.20241183</v>
      </c>
      <c r="N18" s="15">
        <f>+N16*N17</f>
        <v>156515821.07438889</v>
      </c>
    </row>
    <row r="19" spans="2:14" x14ac:dyDescent="0.25">
      <c r="B19" s="1" t="s">
        <v>45</v>
      </c>
      <c r="C19" s="26">
        <f>+C5</f>
        <v>0.25</v>
      </c>
      <c r="D19" s="26">
        <f>+$C$19</f>
        <v>0.25</v>
      </c>
      <c r="E19" s="26">
        <f t="shared" ref="E19:N19" si="4">+$C$19</f>
        <v>0.25</v>
      </c>
      <c r="F19" s="26">
        <f t="shared" si="4"/>
        <v>0.25</v>
      </c>
      <c r="G19" s="26">
        <f t="shared" si="4"/>
        <v>0.25</v>
      </c>
      <c r="H19" s="26">
        <f t="shared" si="4"/>
        <v>0.25</v>
      </c>
      <c r="I19" s="26">
        <f t="shared" si="4"/>
        <v>0.25</v>
      </c>
      <c r="J19" s="26">
        <f t="shared" si="4"/>
        <v>0.25</v>
      </c>
      <c r="K19" s="26">
        <f t="shared" si="4"/>
        <v>0.25</v>
      </c>
      <c r="L19" s="26">
        <f t="shared" si="4"/>
        <v>0.25</v>
      </c>
      <c r="M19" s="26">
        <f t="shared" si="4"/>
        <v>0.25</v>
      </c>
      <c r="N19" s="26">
        <f t="shared" si="4"/>
        <v>0.25</v>
      </c>
    </row>
    <row r="20" spans="2:14" x14ac:dyDescent="0.25">
      <c r="B20" s="1" t="s">
        <v>235</v>
      </c>
      <c r="C20" s="58">
        <f>+C18*(1-C19)</f>
        <v>22147502.25</v>
      </c>
      <c r="D20" s="58">
        <f>+D18*(1-D19)</f>
        <v>26950774.5</v>
      </c>
      <c r="E20" s="58">
        <f t="shared" ref="E20:N20" si="5">+E18*(1-E19)</f>
        <v>35028976.276471473</v>
      </c>
      <c r="F20" s="58">
        <f t="shared" si="5"/>
        <v>43652270.669619732</v>
      </c>
      <c r="G20" s="58">
        <f t="shared" si="5"/>
        <v>53301402.641494781</v>
      </c>
      <c r="H20" s="58">
        <f t="shared" si="5"/>
        <v>63743930.509404585</v>
      </c>
      <c r="I20" s="58">
        <f t="shared" si="5"/>
        <v>74630375.307564899</v>
      </c>
      <c r="J20" s="58">
        <f t="shared" si="5"/>
        <v>85500539.575715646</v>
      </c>
      <c r="K20" s="58">
        <f t="shared" si="5"/>
        <v>95805293.831923008</v>
      </c>
      <c r="L20" s="58">
        <f t="shared" si="5"/>
        <v>104944353.45070477</v>
      </c>
      <c r="M20" s="58">
        <f t="shared" si="5"/>
        <v>112317884.40180887</v>
      </c>
      <c r="N20" s="58">
        <f t="shared" si="5"/>
        <v>117386865.80579168</v>
      </c>
    </row>
    <row r="21" spans="2:14" x14ac:dyDescent="0.25">
      <c r="B21" s="1" t="s">
        <v>116</v>
      </c>
      <c r="C21" s="26">
        <f>+C22/C16</f>
        <v>2.4779151832470574E-2</v>
      </c>
      <c r="D21" s="26">
        <f>+D22/D16</f>
        <v>7.6683977747431326E-2</v>
      </c>
      <c r="E21" s="26">
        <f>+$F$8</f>
        <v>6.0031564789950954E-2</v>
      </c>
      <c r="F21" s="26">
        <f t="shared" ref="F21:N21" si="6">+$F$8</f>
        <v>6.0031564789950954E-2</v>
      </c>
      <c r="G21" s="26">
        <f t="shared" si="6"/>
        <v>6.0031564789950954E-2</v>
      </c>
      <c r="H21" s="26">
        <f t="shared" si="6"/>
        <v>6.0031564789950954E-2</v>
      </c>
      <c r="I21" s="26">
        <f t="shared" si="6"/>
        <v>6.0031564789950954E-2</v>
      </c>
      <c r="J21" s="26">
        <f t="shared" si="6"/>
        <v>6.0031564789950954E-2</v>
      </c>
      <c r="K21" s="26">
        <f t="shared" si="6"/>
        <v>6.0031564789950954E-2</v>
      </c>
      <c r="L21" s="26">
        <f t="shared" si="6"/>
        <v>6.0031564789950954E-2</v>
      </c>
      <c r="M21" s="26">
        <f t="shared" si="6"/>
        <v>6.0031564789950954E-2</v>
      </c>
      <c r="N21" s="26">
        <f t="shared" si="6"/>
        <v>6.0031564789950954E-2</v>
      </c>
    </row>
    <row r="22" spans="2:14" x14ac:dyDescent="0.25">
      <c r="B22" s="1" t="s">
        <v>36</v>
      </c>
      <c r="C22" s="24">
        <f>+'Análisis Financiero'!D6</f>
        <v>6143348</v>
      </c>
      <c r="D22" s="24">
        <f>+'Análisis Financiero'!E6</f>
        <v>24169833</v>
      </c>
      <c r="E22" s="15">
        <f>+E16*E21</f>
        <v>24054648.643498451</v>
      </c>
      <c r="F22" s="15">
        <f>+F16*F21</f>
        <v>29976326.603466693</v>
      </c>
      <c r="G22" s="15">
        <f>+G16*G21</f>
        <v>36602454.568676591</v>
      </c>
      <c r="H22" s="15">
        <f>+H16*H21</f>
        <v>43773413.172489211</v>
      </c>
      <c r="I22" s="15">
        <f>+I16*I21</f>
        <v>51249212.708557367</v>
      </c>
      <c r="J22" s="15">
        <f>+J16*J21</f>
        <v>58713832.28817977</v>
      </c>
      <c r="K22" s="15">
        <f>+K16*K21</f>
        <v>65790180.767057784</v>
      </c>
      <c r="L22" s="15">
        <f>+L16*L21</f>
        <v>72066038.397799969</v>
      </c>
      <c r="M22" s="15">
        <f>+M16*M21</f>
        <v>77129494.859983414</v>
      </c>
      <c r="N22" s="15">
        <f>+N16*N21</f>
        <v>80610400.658967167</v>
      </c>
    </row>
    <row r="23" spans="2:14" x14ac:dyDescent="0.25">
      <c r="B23" s="1" t="s">
        <v>207</v>
      </c>
      <c r="C23" s="26">
        <f>+C24/C16</f>
        <v>0.17683149618276464</v>
      </c>
      <c r="D23" s="26">
        <f>+D24/D16</f>
        <v>0.15795169975684603</v>
      </c>
      <c r="E23" s="26">
        <f>+$F$9</f>
        <v>0.16999159796980534</v>
      </c>
      <c r="F23" s="26">
        <f t="shared" ref="F23:N23" si="7">+$F$9</f>
        <v>0.16999159796980534</v>
      </c>
      <c r="G23" s="26">
        <f t="shared" si="7"/>
        <v>0.16999159796980534</v>
      </c>
      <c r="H23" s="26">
        <f t="shared" si="7"/>
        <v>0.16999159796980534</v>
      </c>
      <c r="I23" s="26">
        <f t="shared" si="7"/>
        <v>0.16999159796980534</v>
      </c>
      <c r="J23" s="26">
        <f t="shared" si="7"/>
        <v>0.16999159796980534</v>
      </c>
      <c r="K23" s="26">
        <f t="shared" si="7"/>
        <v>0.16999159796980534</v>
      </c>
      <c r="L23" s="26">
        <f t="shared" si="7"/>
        <v>0.16999159796980534</v>
      </c>
      <c r="M23" s="26">
        <f t="shared" si="7"/>
        <v>0.16999159796980534</v>
      </c>
      <c r="N23" s="26">
        <f t="shared" si="7"/>
        <v>0.16999159796980534</v>
      </c>
    </row>
    <row r="24" spans="2:14" x14ac:dyDescent="0.25">
      <c r="B24" s="1" t="s">
        <v>218</v>
      </c>
      <c r="C24" s="24">
        <f>+'Análisis Financiero'!D41</f>
        <v>43840783</v>
      </c>
      <c r="D24" s="24">
        <f>+'Análisis Financiero'!E41</f>
        <v>49784405</v>
      </c>
      <c r="E24" s="15">
        <f>+E16*E23</f>
        <v>68115635.096605197</v>
      </c>
      <c r="F24" s="15">
        <f>+F16*F23</f>
        <v>84884071.878151253</v>
      </c>
      <c r="G24" s="15">
        <f>+G16*G23</f>
        <v>103647302.27368806</v>
      </c>
      <c r="H24" s="15">
        <f>+H16*H23</f>
        <v>123953331.54849863</v>
      </c>
      <c r="I24" s="15">
        <f>+I16*I23</f>
        <v>145122579.98779446</v>
      </c>
      <c r="J24" s="15">
        <f>+J16*J23</f>
        <v>166260170.10420471</v>
      </c>
      <c r="K24" s="15">
        <f>+K16*K23</f>
        <v>186298291.54789293</v>
      </c>
      <c r="L24" s="15">
        <f>+L16*L23</f>
        <v>204069660.17727515</v>
      </c>
      <c r="M24" s="15">
        <f>+M16*M23</f>
        <v>218407868.0562273</v>
      </c>
      <c r="N24" s="15">
        <f>+N16*N23</f>
        <v>228264761.52922007</v>
      </c>
    </row>
    <row r="25" spans="2:14" x14ac:dyDescent="0.25">
      <c r="B25" s="1" t="s">
        <v>211</v>
      </c>
      <c r="C25" s="24">
        <f>+'Análisis Financiero'!D47</f>
        <v>62676554</v>
      </c>
      <c r="D25" s="24">
        <f>+'Análisis Financiero'!E47</f>
        <v>81525292</v>
      </c>
      <c r="E25" s="15">
        <f>+E24+E22</f>
        <v>92170283.740103647</v>
      </c>
      <c r="F25" s="15">
        <f t="shared" ref="F25:N25" si="8">+F24+F22</f>
        <v>114860398.48161794</v>
      </c>
      <c r="G25" s="15">
        <f t="shared" si="8"/>
        <v>140249756.84236467</v>
      </c>
      <c r="H25" s="15">
        <f t="shared" si="8"/>
        <v>167726744.72098786</v>
      </c>
      <c r="I25" s="15">
        <f t="shared" si="8"/>
        <v>196371792.69635183</v>
      </c>
      <c r="J25" s="15">
        <f t="shared" si="8"/>
        <v>224974002.39238447</v>
      </c>
      <c r="K25" s="15">
        <f t="shared" si="8"/>
        <v>252088472.3149507</v>
      </c>
      <c r="L25" s="15">
        <f t="shared" si="8"/>
        <v>276135698.57507515</v>
      </c>
      <c r="M25" s="15">
        <f t="shared" si="8"/>
        <v>295537362.91621071</v>
      </c>
      <c r="N25" s="15">
        <f t="shared" si="8"/>
        <v>308875162.18818724</v>
      </c>
    </row>
    <row r="26" spans="2:14" x14ac:dyDescent="0.25">
      <c r="B26" s="1" t="s">
        <v>220</v>
      </c>
      <c r="C26" s="24"/>
      <c r="D26" s="24">
        <f>+D25-C25</f>
        <v>18848738</v>
      </c>
      <c r="E26" s="24">
        <f t="shared" ref="E26:N26" si="9">+E25-D25</f>
        <v>10644991.740103647</v>
      </c>
      <c r="F26" s="24">
        <f t="shared" si="9"/>
        <v>22690114.741514295</v>
      </c>
      <c r="G26" s="24">
        <f t="shared" si="9"/>
        <v>25389358.360746726</v>
      </c>
      <c r="H26" s="24">
        <f t="shared" si="9"/>
        <v>27476987.878623188</v>
      </c>
      <c r="I26" s="24">
        <f t="shared" si="9"/>
        <v>28645047.97536397</v>
      </c>
      <c r="J26" s="24">
        <f t="shared" si="9"/>
        <v>28602209.696032643</v>
      </c>
      <c r="K26" s="24">
        <f t="shared" si="9"/>
        <v>27114469.922566235</v>
      </c>
      <c r="L26" s="24">
        <f t="shared" si="9"/>
        <v>24047226.260124445</v>
      </c>
      <c r="M26" s="24">
        <f t="shared" si="9"/>
        <v>19401664.341135561</v>
      </c>
      <c r="N26" s="24">
        <f t="shared" si="9"/>
        <v>13337799.271976531</v>
      </c>
    </row>
    <row r="27" spans="2:14" hidden="1" x14ac:dyDescent="0.25">
      <c r="B27" s="1" t="s">
        <v>216</v>
      </c>
      <c r="C27" s="24"/>
      <c r="D27" s="24" t="e">
        <f>+(D24-C24)+#REF!</f>
        <v>#REF!</v>
      </c>
      <c r="E27" s="24" t="e">
        <f>+(E24-D24)+#REF!</f>
        <v>#REF!</v>
      </c>
      <c r="F27" s="24" t="e">
        <f>+(F24-E24)+#REF!</f>
        <v>#REF!</v>
      </c>
      <c r="G27" s="24" t="e">
        <f>+(G24-F24)+#REF!</f>
        <v>#REF!</v>
      </c>
      <c r="H27" s="24" t="e">
        <f>+(H24-G24)+#REF!</f>
        <v>#REF!</v>
      </c>
      <c r="I27" s="24" t="e">
        <f>+(I24-H24)+#REF!</f>
        <v>#REF!</v>
      </c>
      <c r="J27" s="24" t="e">
        <f>+(J24-I24)+#REF!</f>
        <v>#REF!</v>
      </c>
      <c r="K27" s="24" t="e">
        <f>+(K24-J24)+#REF!</f>
        <v>#REF!</v>
      </c>
      <c r="L27" s="24" t="e">
        <f>+(L24-K24)+#REF!</f>
        <v>#REF!</v>
      </c>
      <c r="M27" s="24" t="e">
        <f>+(M24-L24)+#REF!</f>
        <v>#REF!</v>
      </c>
      <c r="N27" s="24" t="e">
        <f>+(N24-M24)+#REF!</f>
        <v>#REF!</v>
      </c>
    </row>
    <row r="28" spans="2:14" s="82" customFormat="1" ht="14.25" customHeight="1" x14ac:dyDescent="0.25">
      <c r="C28" s="83"/>
      <c r="D28" s="83"/>
      <c r="E28" s="83"/>
      <c r="F28" s="83"/>
      <c r="G28" s="83"/>
      <c r="H28" s="83"/>
      <c r="I28" s="83"/>
      <c r="J28" s="83"/>
      <c r="K28" s="83"/>
      <c r="L28" s="83"/>
      <c r="M28" s="83"/>
      <c r="N28" s="83"/>
    </row>
    <row r="29" spans="2:14" x14ac:dyDescent="0.25">
      <c r="B29" s="4" t="s">
        <v>217</v>
      </c>
      <c r="C29" s="24"/>
      <c r="D29" s="24"/>
      <c r="E29" s="24">
        <f>+E20-E26</f>
        <v>24383984.536367826</v>
      </c>
      <c r="F29" s="24">
        <f>+F20-F26</f>
        <v>20962155.928105436</v>
      </c>
      <c r="G29" s="24">
        <f>+G20-G26</f>
        <v>27912044.280748054</v>
      </c>
      <c r="H29" s="24">
        <f>+H20-H26</f>
        <v>36266942.630781397</v>
      </c>
      <c r="I29" s="24">
        <f>+I20-I26</f>
        <v>45985327.33220093</v>
      </c>
      <c r="J29" s="24">
        <f>+J20-J26</f>
        <v>56898329.879683003</v>
      </c>
      <c r="K29" s="24">
        <f>+K20-K26</f>
        <v>68690823.909356773</v>
      </c>
      <c r="L29" s="24">
        <f>+L20-L26</f>
        <v>80897127.190580323</v>
      </c>
      <c r="M29" s="24">
        <f>+M20-M26</f>
        <v>92916220.060673311</v>
      </c>
      <c r="N29" s="24">
        <f>+N20-N26</f>
        <v>104049066.53381515</v>
      </c>
    </row>
    <row r="30" spans="2:14" x14ac:dyDescent="0.25">
      <c r="B30" s="6" t="s">
        <v>224</v>
      </c>
      <c r="C30" s="86"/>
      <c r="D30" s="24"/>
      <c r="E30" s="24">
        <f>+E29/(1+$C$3)^E13</f>
        <v>22080389.5458587</v>
      </c>
      <c r="F30" s="24">
        <f>+F29/(1+$C$3)^F13</f>
        <v>17188582.411630142</v>
      </c>
      <c r="G30" s="24">
        <f>+G29/(1+$C$3)^G13</f>
        <v>20725156.360166963</v>
      </c>
      <c r="H30" s="24">
        <f>+H29/(1+$C$3)^H13</f>
        <v>24384798.567352876</v>
      </c>
      <c r="I30" s="24">
        <f>+I29/(1+$C$3)^I13</f>
        <v>27998164.83857565</v>
      </c>
      <c r="J30" s="24">
        <f>+J29/(1+$C$3)^J13</f>
        <v>31369807.92282838</v>
      </c>
      <c r="K30" s="24">
        <f>+K29/(1+$C$3)^K13</f>
        <v>34293603.555873811</v>
      </c>
      <c r="L30" s="24">
        <f>+L29/(1+$C$3)^L13</f>
        <v>36572070.937913805</v>
      </c>
      <c r="M30" s="24">
        <f>+M29/(1+$C$3)^M13</f>
        <v>38037331.795258142</v>
      </c>
      <c r="N30" s="24">
        <f>+N29/(1+$C$3)^N13</f>
        <v>38570809.716834776</v>
      </c>
    </row>
    <row r="31" spans="2:14" x14ac:dyDescent="0.25">
      <c r="B31" s="4" t="s">
        <v>215</v>
      </c>
      <c r="C31" s="23">
        <f>+((1+C4)*N29)/(C3-C4)</f>
        <v>1258543989.9276145</v>
      </c>
      <c r="D31" s="15"/>
      <c r="E31" s="15"/>
      <c r="F31" s="15"/>
      <c r="G31" s="15"/>
      <c r="H31" s="15"/>
      <c r="I31" s="15"/>
    </row>
    <row r="32" spans="2:14" x14ac:dyDescent="0.25">
      <c r="B32" s="4" t="s">
        <v>236</v>
      </c>
      <c r="C32" s="23">
        <f>+C31/(1+C3)^N13</f>
        <v>466540088.94916821</v>
      </c>
      <c r="D32" s="15"/>
      <c r="E32" s="15"/>
      <c r="F32" s="15"/>
      <c r="G32" s="15"/>
      <c r="H32" s="15"/>
      <c r="I32" s="15"/>
    </row>
    <row r="33" spans="2:14" x14ac:dyDescent="0.25">
      <c r="B33" s="4" t="s">
        <v>149</v>
      </c>
      <c r="C33" s="23">
        <f>+SUM(E30:N30)+C32</f>
        <v>757760804.60146141</v>
      </c>
      <c r="D33" s="15"/>
      <c r="E33" s="15"/>
      <c r="F33" s="15"/>
      <c r="G33" s="15"/>
      <c r="H33" s="15"/>
      <c r="I33" s="15"/>
    </row>
    <row r="34" spans="2:14" x14ac:dyDescent="0.25">
      <c r="B34" s="4" t="s">
        <v>237</v>
      </c>
      <c r="C34" s="23">
        <f>+'Análisis Financiero'!E34</f>
        <v>37254208</v>
      </c>
      <c r="D34" s="15"/>
      <c r="E34" s="15"/>
      <c r="F34" s="15"/>
      <c r="G34" s="15"/>
      <c r="H34" s="15"/>
      <c r="I34" s="15"/>
    </row>
    <row r="35" spans="2:14" x14ac:dyDescent="0.25">
      <c r="B35" s="4" t="s">
        <v>47</v>
      </c>
      <c r="C35" s="29">
        <f>+C33-C34</f>
        <v>720506596.60146141</v>
      </c>
      <c r="D35" s="15"/>
      <c r="E35" s="15"/>
      <c r="F35" s="15"/>
      <c r="G35" s="15"/>
      <c r="H35" s="15"/>
      <c r="I35" s="15"/>
    </row>
    <row r="36" spans="2:14" x14ac:dyDescent="0.25">
      <c r="B36" s="4" t="s">
        <v>225</v>
      </c>
      <c r="C36" s="23">
        <f>+C35/Noticia!D4</f>
        <v>19.680595372888867</v>
      </c>
      <c r="D36" s="15"/>
      <c r="E36" s="15"/>
      <c r="F36" s="15"/>
      <c r="G36" s="15"/>
      <c r="H36" s="15"/>
      <c r="I36" s="15"/>
    </row>
    <row r="37" spans="2:14" x14ac:dyDescent="0.25">
      <c r="C37" s="24"/>
      <c r="D37" s="24"/>
      <c r="E37" s="15"/>
      <c r="F37" s="15"/>
      <c r="G37" s="15"/>
      <c r="H37" s="15"/>
      <c r="I37" s="15"/>
      <c r="J37" s="15"/>
      <c r="K37" s="15"/>
      <c r="L37" s="15"/>
      <c r="M37" s="15"/>
      <c r="N37" s="15"/>
    </row>
    <row r="38" spans="2:14" x14ac:dyDescent="0.25">
      <c r="C38" s="24"/>
      <c r="D38" s="24"/>
      <c r="E38" s="15"/>
      <c r="F38" s="15"/>
      <c r="G38" s="15"/>
      <c r="H38" s="15"/>
      <c r="I38" s="15"/>
      <c r="J38" s="15"/>
      <c r="K38" s="15"/>
      <c r="L38" s="15"/>
      <c r="M38" s="15"/>
      <c r="N38" s="1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224D-4B3D-4CCB-BB1B-98833D2C54C9}">
  <dimension ref="B1:N38"/>
  <sheetViews>
    <sheetView workbookViewId="0"/>
  </sheetViews>
  <sheetFormatPr defaultRowHeight="15" x14ac:dyDescent="0.25"/>
  <cols>
    <col min="1" max="1" width="3" style="1" customWidth="1"/>
    <col min="2" max="2" width="21.42578125" style="1" customWidth="1"/>
    <col min="3" max="3" width="18" style="1" bestFit="1" customWidth="1"/>
    <col min="4" max="4" width="18.7109375" style="1" bestFit="1" customWidth="1"/>
    <col min="5" max="5" width="17.28515625" style="1" customWidth="1"/>
    <col min="6" max="6" width="17" style="1" bestFit="1" customWidth="1"/>
    <col min="7" max="7" width="16.28515625" style="1" bestFit="1" customWidth="1"/>
    <col min="8" max="8" width="17" style="1" bestFit="1" customWidth="1"/>
    <col min="9" max="9" width="19" style="1" bestFit="1" customWidth="1"/>
    <col min="10" max="14" width="18" style="1" bestFit="1" customWidth="1"/>
    <col min="15" max="16384" width="9.140625" style="1"/>
  </cols>
  <sheetData>
    <row r="1" spans="2:14" x14ac:dyDescent="0.25">
      <c r="B1" s="4" t="s">
        <v>265</v>
      </c>
    </row>
    <row r="2" spans="2:14" x14ac:dyDescent="0.25">
      <c r="B2" s="6" t="s">
        <v>285</v>
      </c>
      <c r="C2" s="2"/>
    </row>
    <row r="3" spans="2:14" x14ac:dyDescent="0.25">
      <c r="B3" s="97" t="s">
        <v>223</v>
      </c>
      <c r="C3" s="33">
        <f>+WACC!G44</f>
        <v>0.10432764266793372</v>
      </c>
      <c r="D3" s="98"/>
      <c r="E3" s="98"/>
      <c r="F3" s="99"/>
    </row>
    <row r="4" spans="2:14" s="98" customFormat="1" x14ac:dyDescent="0.25">
      <c r="B4" s="97" t="s">
        <v>284</v>
      </c>
      <c r="C4" s="33">
        <v>0.03</v>
      </c>
      <c r="F4" s="99"/>
    </row>
    <row r="5" spans="2:14" s="98" customFormat="1" x14ac:dyDescent="0.25">
      <c r="B5" s="95" t="s">
        <v>45</v>
      </c>
      <c r="C5" s="96">
        <f>+'Análisis Financiero'!C15</f>
        <v>0.25</v>
      </c>
      <c r="D5" s="2"/>
      <c r="E5" s="2"/>
      <c r="F5" s="6"/>
    </row>
    <row r="6" spans="2:14" x14ac:dyDescent="0.25">
      <c r="B6" s="6" t="s">
        <v>287</v>
      </c>
      <c r="C6" s="100">
        <v>2023</v>
      </c>
      <c r="D6" s="100">
        <v>2024</v>
      </c>
      <c r="E6" s="6" t="s">
        <v>157</v>
      </c>
      <c r="F6" s="6" t="s">
        <v>234</v>
      </c>
    </row>
    <row r="7" spans="2:14" x14ac:dyDescent="0.25">
      <c r="B7" s="1" t="s">
        <v>231</v>
      </c>
      <c r="C7" s="31">
        <f>+C17</f>
        <v>0.11910906364905774</v>
      </c>
      <c r="D7" s="31">
        <f>+D17</f>
        <v>0.11400948126998035</v>
      </c>
      <c r="E7" s="75">
        <f>+AVERAGE(C7:D7)</f>
        <v>0.11655927245951905</v>
      </c>
      <c r="F7" s="73">
        <f>+E7</f>
        <v>0.11655927245951905</v>
      </c>
      <c r="G7" s="4"/>
      <c r="H7" s="4"/>
      <c r="I7" s="4"/>
      <c r="J7" s="4"/>
      <c r="K7" s="4"/>
      <c r="L7" s="4"/>
      <c r="M7" s="4"/>
      <c r="N7" s="4"/>
    </row>
    <row r="8" spans="2:14" x14ac:dyDescent="0.25">
      <c r="B8" s="1" t="s">
        <v>116</v>
      </c>
      <c r="C8" s="31">
        <f>+C21</f>
        <v>2.4779151832470574E-2</v>
      </c>
      <c r="D8" s="31">
        <f>+D21</f>
        <v>7.6683977747431326E-2</v>
      </c>
      <c r="E8" s="75">
        <f t="shared" ref="E8:E9" si="0">+AVERAGE(C8:D8)</f>
        <v>5.0731564789950952E-2</v>
      </c>
      <c r="F8" s="73">
        <f>+E8</f>
        <v>5.0731564789950952E-2</v>
      </c>
      <c r="G8" s="4"/>
      <c r="H8" s="4"/>
      <c r="I8" s="4"/>
      <c r="J8" s="4"/>
      <c r="K8" s="4"/>
      <c r="L8" s="4"/>
      <c r="M8" s="4"/>
      <c r="N8" s="4"/>
    </row>
    <row r="9" spans="2:14" x14ac:dyDescent="0.25">
      <c r="B9" s="1" t="s">
        <v>207</v>
      </c>
      <c r="C9" s="31">
        <f>+C23</f>
        <v>0.17683149618276464</v>
      </c>
      <c r="D9" s="31">
        <f>+D23</f>
        <v>0.15795169975684603</v>
      </c>
      <c r="E9" s="75">
        <f t="shared" si="0"/>
        <v>0.16739159796980535</v>
      </c>
      <c r="F9" s="73">
        <f>+E9</f>
        <v>0.16739159796980535</v>
      </c>
      <c r="G9" s="4"/>
      <c r="H9" s="4"/>
      <c r="I9" s="4"/>
      <c r="J9" s="4"/>
      <c r="K9" s="4"/>
      <c r="L9" s="4"/>
      <c r="M9" s="4"/>
      <c r="N9" s="4"/>
    </row>
    <row r="10" spans="2:14" x14ac:dyDescent="0.25">
      <c r="C10" s="31"/>
      <c r="D10" s="32"/>
      <c r="E10" s="32"/>
      <c r="F10" s="32"/>
      <c r="G10" s="32"/>
      <c r="H10" s="32"/>
      <c r="I10" s="32"/>
      <c r="J10" s="32"/>
      <c r="K10" s="32"/>
      <c r="L10" s="32"/>
      <c r="M10" s="32"/>
      <c r="N10" s="32"/>
    </row>
    <row r="11" spans="2:14" x14ac:dyDescent="0.25">
      <c r="B11" s="4" t="s">
        <v>286</v>
      </c>
      <c r="C11" s="31"/>
      <c r="D11" s="32"/>
      <c r="E11" s="32"/>
      <c r="F11" s="32"/>
      <c r="G11" s="32"/>
      <c r="H11" s="32"/>
      <c r="I11" s="32"/>
      <c r="J11" s="32"/>
      <c r="K11" s="32"/>
      <c r="L11" s="32"/>
      <c r="M11" s="32"/>
      <c r="N11" s="32"/>
    </row>
    <row r="12" spans="2:14" x14ac:dyDescent="0.25">
      <c r="B12" s="101">
        <f>+(D15-C4)/(11-1)</f>
        <v>2.4130670248817272E-2</v>
      </c>
      <c r="C12" s="31"/>
      <c r="D12" s="32"/>
      <c r="E12" s="32"/>
      <c r="F12" s="32"/>
      <c r="G12" s="32"/>
      <c r="H12" s="32"/>
      <c r="I12" s="32"/>
      <c r="J12" s="32"/>
      <c r="K12" s="32"/>
      <c r="L12" s="32"/>
      <c r="M12" s="32"/>
      <c r="N12" s="32"/>
    </row>
    <row r="13" spans="2:14" x14ac:dyDescent="0.25">
      <c r="C13" s="2"/>
      <c r="D13" s="6">
        <v>0</v>
      </c>
      <c r="E13" s="6">
        <v>1</v>
      </c>
      <c r="F13" s="6">
        <v>2</v>
      </c>
      <c r="G13" s="6">
        <v>3</v>
      </c>
      <c r="H13" s="6">
        <v>4</v>
      </c>
      <c r="I13" s="6">
        <v>5</v>
      </c>
      <c r="J13" s="6">
        <v>6</v>
      </c>
      <c r="K13" s="6">
        <v>7</v>
      </c>
      <c r="L13" s="6">
        <v>8</v>
      </c>
      <c r="M13" s="6">
        <v>9</v>
      </c>
      <c r="N13" s="9">
        <v>10</v>
      </c>
    </row>
    <row r="14" spans="2:14" x14ac:dyDescent="0.25">
      <c r="C14" s="6">
        <v>2023</v>
      </c>
      <c r="D14" s="6">
        <v>2024</v>
      </c>
      <c r="E14" s="6">
        <v>2025</v>
      </c>
      <c r="F14" s="6">
        <v>2026</v>
      </c>
      <c r="G14" s="6">
        <v>2027</v>
      </c>
      <c r="H14" s="6">
        <v>2028</v>
      </c>
      <c r="I14" s="6">
        <v>2029</v>
      </c>
      <c r="J14" s="6">
        <v>2030</v>
      </c>
      <c r="K14" s="6">
        <v>2031</v>
      </c>
      <c r="L14" s="6">
        <v>2032</v>
      </c>
      <c r="M14" s="6">
        <v>2033</v>
      </c>
      <c r="N14" s="9">
        <v>2034</v>
      </c>
    </row>
    <row r="15" spans="2:14" x14ac:dyDescent="0.25">
      <c r="B15" s="1" t="s">
        <v>221</v>
      </c>
      <c r="C15" s="24"/>
      <c r="D15" s="26">
        <f>+(D16-C16)/C16</f>
        <v>0.27130670248817274</v>
      </c>
      <c r="E15" s="26">
        <f>+D15-$B$12</f>
        <v>0.24717603223935547</v>
      </c>
      <c r="F15" s="26">
        <f t="shared" ref="F15:N15" si="1">+E15-$B$12</f>
        <v>0.2230453619905382</v>
      </c>
      <c r="G15" s="26">
        <f t="shared" si="1"/>
        <v>0.19891469174172094</v>
      </c>
      <c r="H15" s="26">
        <f t="shared" si="1"/>
        <v>0.17478402149290367</v>
      </c>
      <c r="I15" s="26">
        <f t="shared" si="1"/>
        <v>0.15065335124408641</v>
      </c>
      <c r="J15" s="26">
        <f t="shared" si="1"/>
        <v>0.12652268099526914</v>
      </c>
      <c r="K15" s="26">
        <f t="shared" si="1"/>
        <v>0.10239201074645188</v>
      </c>
      <c r="L15" s="26">
        <f t="shared" si="1"/>
        <v>7.8261340497634613E-2</v>
      </c>
      <c r="M15" s="26">
        <f t="shared" si="1"/>
        <v>5.4130670248817341E-2</v>
      </c>
      <c r="N15" s="26">
        <f t="shared" si="1"/>
        <v>3.0000000000000068E-2</v>
      </c>
    </row>
    <row r="16" spans="2:14" x14ac:dyDescent="0.25">
      <c r="B16" s="1" t="s">
        <v>99</v>
      </c>
      <c r="C16" s="15">
        <f>+IS!C9</f>
        <v>247924063</v>
      </c>
      <c r="D16" s="15">
        <f>+IS!D9</f>
        <v>315187523</v>
      </c>
      <c r="E16" s="15">
        <f>+D16*D15+D16</f>
        <v>400700010.53054512</v>
      </c>
      <c r="F16" s="15">
        <f>+E16*E15+E16</f>
        <v>499743449.25175321</v>
      </c>
      <c r="G16" s="15">
        <f t="shared" ref="G16:N16" si="2">+F16*F15+F16</f>
        <v>611208907.79251063</v>
      </c>
      <c r="H16" s="15">
        <f t="shared" si="2"/>
        <v>732787339.27585185</v>
      </c>
      <c r="I16" s="15">
        <f t="shared" si="2"/>
        <v>860866857.33357</v>
      </c>
      <c r="J16" s="15">
        <f t="shared" si="2"/>
        <v>990559334.3658371</v>
      </c>
      <c r="K16" s="15">
        <f t="shared" si="2"/>
        <v>1115887557.034692</v>
      </c>
      <c r="L16" s="15">
        <f t="shared" si="2"/>
        <v>1230145527.7664201</v>
      </c>
      <c r="M16" s="15">
        <f t="shared" si="2"/>
        <v>1326418365.7765903</v>
      </c>
      <c r="N16" s="15">
        <f t="shared" si="2"/>
        <v>1398218280.946418</v>
      </c>
    </row>
    <row r="17" spans="2:14" x14ac:dyDescent="0.25">
      <c r="B17" s="1" t="s">
        <v>231</v>
      </c>
      <c r="C17" s="26">
        <f>+C18/C16</f>
        <v>0.11910906364905774</v>
      </c>
      <c r="D17" s="26">
        <f>+D18/D16</f>
        <v>0.11400948126998035</v>
      </c>
      <c r="E17" s="26">
        <f>+$F$7</f>
        <v>0.11655927245951905</v>
      </c>
      <c r="F17" s="26">
        <f t="shared" ref="F17:N17" si="3">+$F$7</f>
        <v>0.11655927245951905</v>
      </c>
      <c r="G17" s="26">
        <f t="shared" si="3"/>
        <v>0.11655927245951905</v>
      </c>
      <c r="H17" s="26">
        <f t="shared" si="3"/>
        <v>0.11655927245951905</v>
      </c>
      <c r="I17" s="26">
        <f t="shared" si="3"/>
        <v>0.11655927245951905</v>
      </c>
      <c r="J17" s="26">
        <f t="shared" si="3"/>
        <v>0.11655927245951905</v>
      </c>
      <c r="K17" s="26">
        <f t="shared" si="3"/>
        <v>0.11655927245951905</v>
      </c>
      <c r="L17" s="26">
        <f t="shared" si="3"/>
        <v>0.11655927245951905</v>
      </c>
      <c r="M17" s="26">
        <f t="shared" si="3"/>
        <v>0.11655927245951905</v>
      </c>
      <c r="N17" s="26">
        <f t="shared" si="3"/>
        <v>0.11655927245951905</v>
      </c>
    </row>
    <row r="18" spans="2:14" x14ac:dyDescent="0.25">
      <c r="B18" s="1" t="s">
        <v>155</v>
      </c>
      <c r="C18" s="24">
        <f>+IS!C16</f>
        <v>29530003</v>
      </c>
      <c r="D18" s="24">
        <f>+IS!D16</f>
        <v>35934366</v>
      </c>
      <c r="E18" s="15">
        <f>+E16*E17</f>
        <v>46705301.701961964</v>
      </c>
      <c r="F18" s="15">
        <f>+F16*F17</f>
        <v>58249732.861194938</v>
      </c>
      <c r="G18" s="15">
        <f>+G16*G17</f>
        <v>71242065.613072306</v>
      </c>
      <c r="H18" s="15">
        <f>+H16*H17</f>
        <v>85413159.133540049</v>
      </c>
      <c r="I18" s="15">
        <f>+I16*I17</f>
        <v>100342014.57531351</v>
      </c>
      <c r="J18" s="15">
        <f>+J16*J17</f>
        <v>115458875.34166744</v>
      </c>
      <c r="K18" s="15">
        <f>+K16*K17</f>
        <v>130067041.79459378</v>
      </c>
      <c r="L18" s="15">
        <f>+L16*L17</f>
        <v>143384867.73578504</v>
      </c>
      <c r="M18" s="15">
        <f>+M16*M17</f>
        <v>154606359.6918636</v>
      </c>
      <c r="N18" s="15">
        <f>+N16*N17</f>
        <v>162975305.5667139</v>
      </c>
    </row>
    <row r="19" spans="2:14" x14ac:dyDescent="0.25">
      <c r="B19" s="1" t="s">
        <v>45</v>
      </c>
      <c r="C19" s="26">
        <f>+C5</f>
        <v>0.25</v>
      </c>
      <c r="D19" s="26">
        <f>+$C$19</f>
        <v>0.25</v>
      </c>
      <c r="E19" s="26">
        <f t="shared" ref="E19:N19" si="4">+$C$19</f>
        <v>0.25</v>
      </c>
      <c r="F19" s="26">
        <f t="shared" si="4"/>
        <v>0.25</v>
      </c>
      <c r="G19" s="26">
        <f t="shared" si="4"/>
        <v>0.25</v>
      </c>
      <c r="H19" s="26">
        <f t="shared" si="4"/>
        <v>0.25</v>
      </c>
      <c r="I19" s="26">
        <f t="shared" si="4"/>
        <v>0.25</v>
      </c>
      <c r="J19" s="26">
        <f t="shared" si="4"/>
        <v>0.25</v>
      </c>
      <c r="K19" s="26">
        <f t="shared" si="4"/>
        <v>0.25</v>
      </c>
      <c r="L19" s="26">
        <f t="shared" si="4"/>
        <v>0.25</v>
      </c>
      <c r="M19" s="26">
        <f t="shared" si="4"/>
        <v>0.25</v>
      </c>
      <c r="N19" s="26">
        <f t="shared" si="4"/>
        <v>0.25</v>
      </c>
    </row>
    <row r="20" spans="2:14" x14ac:dyDescent="0.25">
      <c r="B20" s="1" t="s">
        <v>235</v>
      </c>
      <c r="C20" s="58">
        <f>+C18*(1-C19)</f>
        <v>22147502.25</v>
      </c>
      <c r="D20" s="58">
        <f>+D18*(1-D19)</f>
        <v>26950774.5</v>
      </c>
      <c r="E20" s="58">
        <f t="shared" ref="E20:N20" si="5">+E18*(1-E19)</f>
        <v>35028976.276471473</v>
      </c>
      <c r="F20" s="58">
        <f t="shared" si="5"/>
        <v>43687299.645896204</v>
      </c>
      <c r="G20" s="58">
        <f t="shared" si="5"/>
        <v>53431549.209804229</v>
      </c>
      <c r="H20" s="58">
        <f t="shared" si="5"/>
        <v>64059869.350155041</v>
      </c>
      <c r="I20" s="58">
        <f t="shared" si="5"/>
        <v>75256510.931485131</v>
      </c>
      <c r="J20" s="58">
        <f t="shared" si="5"/>
        <v>86594156.50625059</v>
      </c>
      <c r="K20" s="58">
        <f t="shared" si="5"/>
        <v>97550281.345945328</v>
      </c>
      <c r="L20" s="58">
        <f t="shared" si="5"/>
        <v>107538650.80183879</v>
      </c>
      <c r="M20" s="58">
        <f t="shared" si="5"/>
        <v>115954769.7688977</v>
      </c>
      <c r="N20" s="58">
        <f t="shared" si="5"/>
        <v>122231479.17503542</v>
      </c>
    </row>
    <row r="21" spans="2:14" x14ac:dyDescent="0.25">
      <c r="B21" s="1" t="s">
        <v>116</v>
      </c>
      <c r="C21" s="26">
        <f>+C22/C16</f>
        <v>2.4779151832470574E-2</v>
      </c>
      <c r="D21" s="26">
        <f>+D22/D16</f>
        <v>7.6683977747431326E-2</v>
      </c>
      <c r="E21" s="26">
        <f>+$F$8</f>
        <v>5.0731564789950952E-2</v>
      </c>
      <c r="F21" s="26">
        <f t="shared" ref="F21:N21" si="6">+$F$8</f>
        <v>5.0731564789950952E-2</v>
      </c>
      <c r="G21" s="26">
        <f t="shared" si="6"/>
        <v>5.0731564789950952E-2</v>
      </c>
      <c r="H21" s="26">
        <f t="shared" si="6"/>
        <v>5.0731564789950952E-2</v>
      </c>
      <c r="I21" s="26">
        <f t="shared" si="6"/>
        <v>5.0731564789950952E-2</v>
      </c>
      <c r="J21" s="26">
        <f t="shared" si="6"/>
        <v>5.0731564789950952E-2</v>
      </c>
      <c r="K21" s="26">
        <f t="shared" si="6"/>
        <v>5.0731564789950952E-2</v>
      </c>
      <c r="L21" s="26">
        <f t="shared" si="6"/>
        <v>5.0731564789950952E-2</v>
      </c>
      <c r="M21" s="26">
        <f t="shared" si="6"/>
        <v>5.0731564789950952E-2</v>
      </c>
      <c r="N21" s="26">
        <f t="shared" si="6"/>
        <v>5.0731564789950952E-2</v>
      </c>
    </row>
    <row r="22" spans="2:14" x14ac:dyDescent="0.25">
      <c r="B22" s="1" t="s">
        <v>36</v>
      </c>
      <c r="C22" s="24">
        <f>+'Análisis Financiero'!D6</f>
        <v>6143348</v>
      </c>
      <c r="D22" s="24">
        <f>+'Análisis Financiero'!E6</f>
        <v>24169833</v>
      </c>
      <c r="E22" s="15">
        <f>+E16*E21</f>
        <v>20328138.54556438</v>
      </c>
      <c r="F22" s="15">
        <f>+F16*F21</f>
        <v>25352767.174068883</v>
      </c>
      <c r="G22" s="15">
        <f>+G16*G21</f>
        <v>31007584.305870909</v>
      </c>
      <c r="H22" s="15">
        <f>+H16*H21</f>
        <v>37175448.379728645</v>
      </c>
      <c r="I22" s="15">
        <f>+I16*I21</f>
        <v>43673122.748339467</v>
      </c>
      <c r="J22" s="15">
        <f>+J16*J21</f>
        <v>50252625.049671151</v>
      </c>
      <c r="K22" s="15">
        <f>+K16*K21</f>
        <v>56610721.898005567</v>
      </c>
      <c r="L22" s="15">
        <f>+L16*L21</f>
        <v>62407207.542950548</v>
      </c>
      <c r="M22" s="15">
        <f>+M16*M21</f>
        <v>67291279.261975959</v>
      </c>
      <c r="N22" s="15">
        <f>+N16*N21</f>
        <v>70933801.310327053</v>
      </c>
    </row>
    <row r="23" spans="2:14" x14ac:dyDescent="0.25">
      <c r="B23" s="1" t="s">
        <v>207</v>
      </c>
      <c r="C23" s="26">
        <f>+C24/C16</f>
        <v>0.17683149618276464</v>
      </c>
      <c r="D23" s="26">
        <f>+D24/D16</f>
        <v>0.15795169975684603</v>
      </c>
      <c r="E23" s="26">
        <f>+$F$9</f>
        <v>0.16739159796980535</v>
      </c>
      <c r="F23" s="26">
        <f t="shared" ref="F23:N23" si="7">+$F$9</f>
        <v>0.16739159796980535</v>
      </c>
      <c r="G23" s="26">
        <f t="shared" si="7"/>
        <v>0.16739159796980535</v>
      </c>
      <c r="H23" s="26">
        <f t="shared" si="7"/>
        <v>0.16739159796980535</v>
      </c>
      <c r="I23" s="26">
        <f t="shared" si="7"/>
        <v>0.16739159796980535</v>
      </c>
      <c r="J23" s="26">
        <f t="shared" si="7"/>
        <v>0.16739159796980535</v>
      </c>
      <c r="K23" s="26">
        <f t="shared" si="7"/>
        <v>0.16739159796980535</v>
      </c>
      <c r="L23" s="26">
        <f t="shared" si="7"/>
        <v>0.16739159796980535</v>
      </c>
      <c r="M23" s="26">
        <f t="shared" si="7"/>
        <v>0.16739159796980535</v>
      </c>
      <c r="N23" s="26">
        <f t="shared" si="7"/>
        <v>0.16739159796980535</v>
      </c>
    </row>
    <row r="24" spans="2:14" x14ac:dyDescent="0.25">
      <c r="B24" s="1" t="s">
        <v>218</v>
      </c>
      <c r="C24" s="24">
        <f>+'Análisis Financiero'!D41</f>
        <v>43840783</v>
      </c>
      <c r="D24" s="24">
        <f>+'Análisis Financiero'!E41</f>
        <v>49784405</v>
      </c>
      <c r="E24" s="15">
        <f>+E16*E23</f>
        <v>67073815.069225781</v>
      </c>
      <c r="F24" s="15">
        <f>+F16*F23</f>
        <v>83652854.5451933</v>
      </c>
      <c r="G24" s="15">
        <f>+G16*G23</f>
        <v>102311235.76876777</v>
      </c>
      <c r="H24" s="15">
        <f>+H16*H23</f>
        <v>122662443.69342674</v>
      </c>
      <c r="I24" s="15">
        <f>+I16*I23</f>
        <v>144101878.88831073</v>
      </c>
      <c r="J24" s="15">
        <f>+J16*J23</f>
        <v>165811309.86340418</v>
      </c>
      <c r="K24" s="15">
        <f>+K16*K23</f>
        <v>186790201.32665941</v>
      </c>
      <c r="L24" s="15">
        <f>+L16*L23</f>
        <v>205916025.62823063</v>
      </c>
      <c r="M24" s="15">
        <f>+M16*M23</f>
        <v>222031289.82384124</v>
      </c>
      <c r="N24" s="15">
        <f>+N16*N23</f>
        <v>234049992.35821515</v>
      </c>
    </row>
    <row r="25" spans="2:14" x14ac:dyDescent="0.25">
      <c r="B25" s="1" t="s">
        <v>211</v>
      </c>
      <c r="C25" s="24">
        <f>+'Análisis Financiero'!D47</f>
        <v>62676554</v>
      </c>
      <c r="D25" s="24">
        <f>+'Análisis Financiero'!E47</f>
        <v>81525292</v>
      </c>
      <c r="E25" s="15">
        <f>+E24+E22</f>
        <v>87401953.614790156</v>
      </c>
      <c r="F25" s="15">
        <f t="shared" ref="F25:N25" si="8">+F24+F22</f>
        <v>109005621.71926218</v>
      </c>
      <c r="G25" s="15">
        <f t="shared" si="8"/>
        <v>133318820.07463868</v>
      </c>
      <c r="H25" s="15">
        <f t="shared" si="8"/>
        <v>159837892.0731554</v>
      </c>
      <c r="I25" s="15">
        <f t="shared" si="8"/>
        <v>187775001.6366502</v>
      </c>
      <c r="J25" s="15">
        <f t="shared" si="8"/>
        <v>216063934.91307533</v>
      </c>
      <c r="K25" s="15">
        <f t="shared" si="8"/>
        <v>243400923.22466499</v>
      </c>
      <c r="L25" s="15">
        <f t="shared" si="8"/>
        <v>268323233.17118117</v>
      </c>
      <c r="M25" s="15">
        <f t="shared" si="8"/>
        <v>289322569.08581722</v>
      </c>
      <c r="N25" s="15">
        <f t="shared" si="8"/>
        <v>304983793.66854221</v>
      </c>
    </row>
    <row r="26" spans="2:14" x14ac:dyDescent="0.25">
      <c r="B26" s="1" t="s">
        <v>220</v>
      </c>
      <c r="C26" s="24"/>
      <c r="D26" s="24">
        <f>+D25-C25</f>
        <v>18848738</v>
      </c>
      <c r="E26" s="24">
        <f t="shared" ref="E26:N26" si="9">+E25-D25</f>
        <v>5876661.6147901565</v>
      </c>
      <c r="F26" s="24">
        <f t="shared" si="9"/>
        <v>21603668.104472026</v>
      </c>
      <c r="G26" s="24">
        <f t="shared" si="9"/>
        <v>24313198.355376497</v>
      </c>
      <c r="H26" s="24">
        <f t="shared" si="9"/>
        <v>26519071.998516724</v>
      </c>
      <c r="I26" s="24">
        <f t="shared" si="9"/>
        <v>27937109.563494802</v>
      </c>
      <c r="J26" s="24">
        <f t="shared" si="9"/>
        <v>28288933.276425123</v>
      </c>
      <c r="K26" s="24">
        <f t="shared" si="9"/>
        <v>27336988.311589658</v>
      </c>
      <c r="L26" s="24">
        <f t="shared" si="9"/>
        <v>24922309.946516186</v>
      </c>
      <c r="M26" s="24">
        <f t="shared" si="9"/>
        <v>20999335.914636046</v>
      </c>
      <c r="N26" s="24">
        <f t="shared" si="9"/>
        <v>15661224.582724988</v>
      </c>
    </row>
    <row r="27" spans="2:14" hidden="1" x14ac:dyDescent="0.25">
      <c r="B27" s="1" t="s">
        <v>216</v>
      </c>
      <c r="C27" s="24"/>
      <c r="D27" s="24" t="e">
        <f>+(D24-C24)+#REF!</f>
        <v>#REF!</v>
      </c>
      <c r="E27" s="24" t="e">
        <f>+(E24-D24)+#REF!</f>
        <v>#REF!</v>
      </c>
      <c r="F27" s="24" t="e">
        <f>+(F24-E24)+#REF!</f>
        <v>#REF!</v>
      </c>
      <c r="G27" s="24" t="e">
        <f>+(G24-F24)+#REF!</f>
        <v>#REF!</v>
      </c>
      <c r="H27" s="24" t="e">
        <f>+(H24-G24)+#REF!</f>
        <v>#REF!</v>
      </c>
      <c r="I27" s="24" t="e">
        <f>+(I24-H24)+#REF!</f>
        <v>#REF!</v>
      </c>
      <c r="J27" s="24" t="e">
        <f>+(J24-I24)+#REF!</f>
        <v>#REF!</v>
      </c>
      <c r="K27" s="24" t="e">
        <f>+(K24-J24)+#REF!</f>
        <v>#REF!</v>
      </c>
      <c r="L27" s="24" t="e">
        <f>+(L24-K24)+#REF!</f>
        <v>#REF!</v>
      </c>
      <c r="M27" s="24" t="e">
        <f>+(M24-L24)+#REF!</f>
        <v>#REF!</v>
      </c>
      <c r="N27" s="24" t="e">
        <f>+(N24-M24)+#REF!</f>
        <v>#REF!</v>
      </c>
    </row>
    <row r="28" spans="2:14" s="82" customFormat="1" ht="14.25" customHeight="1" x14ac:dyDescent="0.25">
      <c r="C28" s="83"/>
      <c r="D28" s="83"/>
      <c r="E28" s="83"/>
      <c r="F28" s="83"/>
      <c r="G28" s="83"/>
      <c r="H28" s="83"/>
      <c r="I28" s="83"/>
      <c r="J28" s="83"/>
      <c r="K28" s="83"/>
      <c r="L28" s="83"/>
      <c r="M28" s="83"/>
      <c r="N28" s="83"/>
    </row>
    <row r="29" spans="2:14" x14ac:dyDescent="0.25">
      <c r="B29" s="4" t="s">
        <v>217</v>
      </c>
      <c r="C29" s="24"/>
      <c r="D29" s="24"/>
      <c r="E29" s="24">
        <f>+E20-E26</f>
        <v>29152314.661681317</v>
      </c>
      <c r="F29" s="24">
        <f>+F20-F26</f>
        <v>22083631.541424178</v>
      </c>
      <c r="G29" s="24">
        <f>+G20-G26</f>
        <v>29118350.854427733</v>
      </c>
      <c r="H29" s="24">
        <f>+H20-H26</f>
        <v>37540797.351638317</v>
      </c>
      <c r="I29" s="24">
        <f>+I20-I26</f>
        <v>47319401.36799033</v>
      </c>
      <c r="J29" s="24">
        <f>+J20-J26</f>
        <v>58305223.229825467</v>
      </c>
      <c r="K29" s="24">
        <f>+K20-K26</f>
        <v>70213293.03435567</v>
      </c>
      <c r="L29" s="24">
        <f>+L20-L26</f>
        <v>82616340.855322599</v>
      </c>
      <c r="M29" s="24">
        <f>+M20-M26</f>
        <v>94955433.854261652</v>
      </c>
      <c r="N29" s="24">
        <f>+N20-N26</f>
        <v>106570254.59231043</v>
      </c>
    </row>
    <row r="30" spans="2:14" x14ac:dyDescent="0.25">
      <c r="B30" s="6" t="s">
        <v>224</v>
      </c>
      <c r="C30" s="86"/>
      <c r="D30" s="24"/>
      <c r="E30" s="24">
        <f>+E29/(1+$C$3)^E13</f>
        <v>26398247.707765911</v>
      </c>
      <c r="F30" s="24">
        <f>+F29/(1+$C$3)^F13</f>
        <v>18108171.793002754</v>
      </c>
      <c r="G30" s="24">
        <f>+G29/(1+$C$3)^G13</f>
        <v>21620859.021940563</v>
      </c>
      <c r="H30" s="24">
        <f>+H29/(1+$C$3)^H13</f>
        <v>25241300.067586955</v>
      </c>
      <c r="I30" s="24">
        <f>+I29/(1+$C$3)^I13</f>
        <v>28810415.765726063</v>
      </c>
      <c r="J30" s="24">
        <f>+J29/(1+$C$3)^J13</f>
        <v>32145471.712173328</v>
      </c>
      <c r="K30" s="24">
        <f>+K29/(1+$C$3)^K13</f>
        <v>35053689.832720146</v>
      </c>
      <c r="L30" s="24">
        <f>+L29/(1+$C$3)^L13</f>
        <v>37349295.12730018</v>
      </c>
      <c r="M30" s="24">
        <f>+M29/(1+$C$3)^M13</f>
        <v>38872129.547658496</v>
      </c>
      <c r="N30" s="24">
        <f>+N29/(1+$C$3)^N13</f>
        <v>39505409.786821701</v>
      </c>
    </row>
    <row r="31" spans="2:14" x14ac:dyDescent="0.25">
      <c r="B31" s="4" t="s">
        <v>215</v>
      </c>
      <c r="C31" s="23">
        <f>+((1+C4)*N29)/(C3-C4)</f>
        <v>1476804029.9687233</v>
      </c>
      <c r="D31" s="15"/>
      <c r="E31" s="15"/>
      <c r="F31" s="15"/>
      <c r="G31" s="15"/>
      <c r="H31" s="15"/>
      <c r="I31" s="15"/>
    </row>
    <row r="32" spans="2:14" x14ac:dyDescent="0.25">
      <c r="B32" s="4" t="s">
        <v>236</v>
      </c>
      <c r="C32" s="23">
        <f>+C31/(1+C3)^N13</f>
        <v>547448709.79180121</v>
      </c>
      <c r="D32" s="15"/>
      <c r="E32" s="15"/>
      <c r="F32" s="15"/>
      <c r="G32" s="15"/>
      <c r="H32" s="15"/>
      <c r="I32" s="15"/>
    </row>
    <row r="33" spans="2:14" x14ac:dyDescent="0.25">
      <c r="B33" s="4" t="s">
        <v>149</v>
      </c>
      <c r="C33" s="23">
        <f>+SUM(E30:N30)+C32</f>
        <v>850553700.15449739</v>
      </c>
      <c r="D33" s="15"/>
      <c r="E33" s="15"/>
      <c r="F33" s="15"/>
      <c r="G33" s="15"/>
      <c r="H33" s="15"/>
      <c r="I33" s="15"/>
    </row>
    <row r="34" spans="2:14" x14ac:dyDescent="0.25">
      <c r="B34" s="4" t="s">
        <v>237</v>
      </c>
      <c r="C34" s="23">
        <f>+'Análisis Financiero'!E34</f>
        <v>37254208</v>
      </c>
      <c r="D34" s="15"/>
      <c r="E34" s="15"/>
      <c r="F34" s="15"/>
      <c r="G34" s="15"/>
      <c r="H34" s="15"/>
      <c r="I34" s="15"/>
    </row>
    <row r="35" spans="2:14" x14ac:dyDescent="0.25">
      <c r="B35" s="4" t="s">
        <v>47</v>
      </c>
      <c r="C35" s="29">
        <f>+C33-C34</f>
        <v>813299492.15449739</v>
      </c>
      <c r="D35" s="15"/>
      <c r="E35" s="15"/>
      <c r="F35" s="15"/>
      <c r="G35" s="15"/>
      <c r="H35" s="15"/>
      <c r="I35" s="15"/>
    </row>
    <row r="36" spans="2:14" x14ac:dyDescent="0.25">
      <c r="B36" s="4" t="s">
        <v>225</v>
      </c>
      <c r="C36" s="23">
        <f>+C35/Noticia!D4</f>
        <v>22.215227865460186</v>
      </c>
      <c r="D36" s="15"/>
      <c r="E36" s="15"/>
      <c r="F36" s="15"/>
      <c r="G36" s="15"/>
      <c r="H36" s="15"/>
      <c r="I36" s="15"/>
    </row>
    <row r="37" spans="2:14" x14ac:dyDescent="0.25">
      <c r="C37" s="24"/>
      <c r="D37" s="24"/>
      <c r="E37" s="15"/>
      <c r="F37" s="15"/>
      <c r="G37" s="15"/>
      <c r="H37" s="15"/>
      <c r="I37" s="15"/>
      <c r="J37" s="15"/>
      <c r="K37" s="15"/>
      <c r="L37" s="15"/>
      <c r="M37" s="15"/>
      <c r="N37" s="15"/>
    </row>
    <row r="38" spans="2:14" x14ac:dyDescent="0.25">
      <c r="C38" s="24"/>
      <c r="D38" s="24"/>
      <c r="E38" s="15"/>
      <c r="F38" s="15"/>
      <c r="G38" s="15"/>
      <c r="H38" s="15"/>
      <c r="I38" s="15"/>
      <c r="J38" s="15"/>
      <c r="K38" s="15"/>
      <c r="L38" s="15"/>
      <c r="M38" s="15"/>
      <c r="N38" s="15"/>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AC5E-64A6-4681-A9C7-8B49A8F7D1F9}">
  <dimension ref="B1:N38"/>
  <sheetViews>
    <sheetView workbookViewId="0"/>
  </sheetViews>
  <sheetFormatPr defaultRowHeight="15" x14ac:dyDescent="0.25"/>
  <cols>
    <col min="1" max="1" width="3" style="1" customWidth="1"/>
    <col min="2" max="2" width="21.42578125" style="1" customWidth="1"/>
    <col min="3" max="3" width="18" style="1" bestFit="1" customWidth="1"/>
    <col min="4" max="4" width="18.7109375" style="1" bestFit="1" customWidth="1"/>
    <col min="5" max="5" width="17.28515625" style="1" customWidth="1"/>
    <col min="6" max="6" width="17" style="1" bestFit="1" customWidth="1"/>
    <col min="7" max="7" width="16.28515625" style="1" bestFit="1" customWidth="1"/>
    <col min="8" max="8" width="17" style="1" bestFit="1" customWidth="1"/>
    <col min="9" max="9" width="19" style="1" bestFit="1" customWidth="1"/>
    <col min="10" max="14" width="18" style="1" bestFit="1" customWidth="1"/>
    <col min="15" max="16384" width="9.140625" style="1"/>
  </cols>
  <sheetData>
    <row r="1" spans="2:14" x14ac:dyDescent="0.25">
      <c r="B1" s="4" t="s">
        <v>248</v>
      </c>
    </row>
    <row r="2" spans="2:14" x14ac:dyDescent="0.25">
      <c r="B2" s="6" t="s">
        <v>285</v>
      </c>
      <c r="C2" s="2"/>
    </row>
    <row r="3" spans="2:14" x14ac:dyDescent="0.25">
      <c r="B3" s="97" t="s">
        <v>223</v>
      </c>
      <c r="C3" s="33">
        <f>+WACC!G44</f>
        <v>0.10432764266793372</v>
      </c>
      <c r="D3" s="98"/>
      <c r="E3" s="98"/>
      <c r="F3" s="99"/>
    </row>
    <row r="4" spans="2:14" s="98" customFormat="1" x14ac:dyDescent="0.25">
      <c r="B4" s="97" t="s">
        <v>284</v>
      </c>
      <c r="C4" s="33">
        <v>0.04</v>
      </c>
      <c r="F4" s="99"/>
    </row>
    <row r="5" spans="2:14" s="98" customFormat="1" x14ac:dyDescent="0.25">
      <c r="B5" s="95" t="s">
        <v>45</v>
      </c>
      <c r="C5" s="96">
        <f>+'Análisis Financiero'!C15</f>
        <v>0.25</v>
      </c>
      <c r="D5" s="2"/>
      <c r="E5" s="2"/>
      <c r="F5" s="6"/>
    </row>
    <row r="6" spans="2:14" x14ac:dyDescent="0.25">
      <c r="B6" s="6" t="s">
        <v>287</v>
      </c>
      <c r="C6" s="100">
        <v>2023</v>
      </c>
      <c r="D6" s="100">
        <v>2024</v>
      </c>
      <c r="E6" s="6" t="s">
        <v>157</v>
      </c>
      <c r="F6" s="6" t="s">
        <v>234</v>
      </c>
    </row>
    <row r="7" spans="2:14" x14ac:dyDescent="0.25">
      <c r="B7" s="1" t="s">
        <v>231</v>
      </c>
      <c r="C7" s="31">
        <f>+C17</f>
        <v>0.11910906364905774</v>
      </c>
      <c r="D7" s="31">
        <f>+D17</f>
        <v>0.11400948126998035</v>
      </c>
      <c r="E7" s="75">
        <f>+AVERAGE(C7:D7)</f>
        <v>0.11655927245951905</v>
      </c>
      <c r="F7" s="73">
        <f>+E7</f>
        <v>0.11655927245951905</v>
      </c>
      <c r="G7" s="4"/>
      <c r="H7" s="4"/>
      <c r="I7" s="4"/>
      <c r="J7" s="4"/>
      <c r="K7" s="4"/>
      <c r="L7" s="4"/>
      <c r="M7" s="4"/>
      <c r="N7" s="4"/>
    </row>
    <row r="8" spans="2:14" x14ac:dyDescent="0.25">
      <c r="B8" s="1" t="s">
        <v>116</v>
      </c>
      <c r="C8" s="31">
        <f>+C21</f>
        <v>2.4779151832470574E-2</v>
      </c>
      <c r="D8" s="31">
        <f>+D21</f>
        <v>7.6683977747431326E-2</v>
      </c>
      <c r="E8" s="75">
        <f t="shared" ref="E8:E9" si="0">+AVERAGE(C8:D8)</f>
        <v>5.0731564789950952E-2</v>
      </c>
      <c r="F8" s="73">
        <v>0.04</v>
      </c>
      <c r="G8" s="4"/>
      <c r="H8" s="4"/>
      <c r="I8" s="4"/>
      <c r="J8" s="4"/>
      <c r="K8" s="4"/>
      <c r="L8" s="4"/>
      <c r="M8" s="4"/>
      <c r="N8" s="4"/>
    </row>
    <row r="9" spans="2:14" x14ac:dyDescent="0.25">
      <c r="B9" s="1" t="s">
        <v>207</v>
      </c>
      <c r="C9" s="31">
        <f>+C23</f>
        <v>0.17683149618276464</v>
      </c>
      <c r="D9" s="31">
        <f>+D23</f>
        <v>0.15795169975684603</v>
      </c>
      <c r="E9" s="75">
        <f t="shared" si="0"/>
        <v>0.16739159796980535</v>
      </c>
      <c r="F9" s="73">
        <v>0.15</v>
      </c>
      <c r="G9" s="4"/>
      <c r="H9" s="4"/>
      <c r="I9" s="4"/>
      <c r="J9" s="4"/>
      <c r="K9" s="4"/>
      <c r="L9" s="4"/>
      <c r="M9" s="4"/>
      <c r="N9" s="4"/>
    </row>
    <row r="10" spans="2:14" x14ac:dyDescent="0.25">
      <c r="C10" s="31"/>
      <c r="D10" s="32"/>
      <c r="E10" s="32"/>
      <c r="F10" s="32"/>
      <c r="G10" s="32"/>
      <c r="H10" s="32"/>
      <c r="I10" s="32"/>
      <c r="J10" s="32"/>
      <c r="K10" s="32"/>
      <c r="L10" s="32"/>
      <c r="M10" s="32"/>
      <c r="N10" s="32"/>
    </row>
    <row r="11" spans="2:14" x14ac:dyDescent="0.25">
      <c r="B11" s="4" t="s">
        <v>286</v>
      </c>
      <c r="C11" s="31"/>
      <c r="D11" s="32"/>
      <c r="E11" s="32"/>
      <c r="F11" s="32"/>
      <c r="G11" s="32"/>
      <c r="H11" s="32"/>
      <c r="I11" s="32"/>
      <c r="J11" s="32"/>
      <c r="K11" s="32"/>
      <c r="L11" s="32"/>
      <c r="M11" s="32"/>
      <c r="N11" s="32"/>
    </row>
    <row r="12" spans="2:14" x14ac:dyDescent="0.25">
      <c r="B12" s="101">
        <f>+(D15-C4)/(11-1)</f>
        <v>2.3130670248817271E-2</v>
      </c>
      <c r="C12" s="31"/>
      <c r="D12" s="32"/>
      <c r="E12" s="32"/>
      <c r="F12" s="32"/>
      <c r="G12" s="32"/>
      <c r="H12" s="32"/>
      <c r="I12" s="32"/>
      <c r="J12" s="32"/>
      <c r="K12" s="32"/>
      <c r="L12" s="32"/>
      <c r="M12" s="32"/>
      <c r="N12" s="32"/>
    </row>
    <row r="13" spans="2:14" x14ac:dyDescent="0.25">
      <c r="C13" s="2"/>
      <c r="D13" s="6">
        <v>0</v>
      </c>
      <c r="E13" s="6">
        <v>1</v>
      </c>
      <c r="F13" s="6">
        <v>2</v>
      </c>
      <c r="G13" s="6">
        <v>3</v>
      </c>
      <c r="H13" s="6">
        <v>4</v>
      </c>
      <c r="I13" s="6">
        <v>5</v>
      </c>
      <c r="J13" s="6">
        <v>6</v>
      </c>
      <c r="K13" s="6">
        <v>7</v>
      </c>
      <c r="L13" s="6">
        <v>8</v>
      </c>
      <c r="M13" s="6">
        <v>9</v>
      </c>
      <c r="N13" s="9">
        <v>10</v>
      </c>
    </row>
    <row r="14" spans="2:14" x14ac:dyDescent="0.25">
      <c r="C14" s="6">
        <v>2023</v>
      </c>
      <c r="D14" s="6">
        <v>2024</v>
      </c>
      <c r="E14" s="6">
        <v>2025</v>
      </c>
      <c r="F14" s="6">
        <v>2026</v>
      </c>
      <c r="G14" s="6">
        <v>2027</v>
      </c>
      <c r="H14" s="6">
        <v>2028</v>
      </c>
      <c r="I14" s="6">
        <v>2029</v>
      </c>
      <c r="J14" s="6">
        <v>2030</v>
      </c>
      <c r="K14" s="6">
        <v>2031</v>
      </c>
      <c r="L14" s="6">
        <v>2032</v>
      </c>
      <c r="M14" s="6">
        <v>2033</v>
      </c>
      <c r="N14" s="9">
        <v>2034</v>
      </c>
    </row>
    <row r="15" spans="2:14" x14ac:dyDescent="0.25">
      <c r="B15" s="1" t="s">
        <v>221</v>
      </c>
      <c r="C15" s="24"/>
      <c r="D15" s="26">
        <f>+(D16-C16)/C16</f>
        <v>0.27130670248817274</v>
      </c>
      <c r="E15" s="26">
        <f>+D15-$B$12</f>
        <v>0.24817603223935547</v>
      </c>
      <c r="F15" s="26">
        <f t="shared" ref="F15:N15" si="1">+E15-$B$12</f>
        <v>0.22504536199053821</v>
      </c>
      <c r="G15" s="26">
        <f t="shared" si="1"/>
        <v>0.20191469174172094</v>
      </c>
      <c r="H15" s="26">
        <f t="shared" si="1"/>
        <v>0.17878402149290368</v>
      </c>
      <c r="I15" s="26">
        <f t="shared" si="1"/>
        <v>0.15565335124408641</v>
      </c>
      <c r="J15" s="26">
        <f t="shared" si="1"/>
        <v>0.13252268099526915</v>
      </c>
      <c r="K15" s="26">
        <f t="shared" si="1"/>
        <v>0.10939201074645188</v>
      </c>
      <c r="L15" s="26">
        <f t="shared" si="1"/>
        <v>8.626134049763462E-2</v>
      </c>
      <c r="M15" s="26">
        <f t="shared" si="1"/>
        <v>6.3130670248817355E-2</v>
      </c>
      <c r="N15" s="26">
        <f t="shared" si="1"/>
        <v>4.0000000000000084E-2</v>
      </c>
    </row>
    <row r="16" spans="2:14" x14ac:dyDescent="0.25">
      <c r="B16" s="1" t="s">
        <v>99</v>
      </c>
      <c r="C16" s="15">
        <f>+IS!C9</f>
        <v>247924063</v>
      </c>
      <c r="D16" s="15">
        <f>+IS!D9</f>
        <v>315187523</v>
      </c>
      <c r="E16" s="15">
        <f>+D16*D15+D16</f>
        <v>400700010.53054512</v>
      </c>
      <c r="F16" s="15">
        <f>+E16*E15+E16</f>
        <v>500144149.26228374</v>
      </c>
      <c r="G16" s="15">
        <f t="shared" ref="G16:N16" si="2">+F16*F15+F16</f>
        <v>612699270.3804642</v>
      </c>
      <c r="H16" s="15">
        <f t="shared" si="2"/>
        <v>736412254.689713</v>
      </c>
      <c r="I16" s="15">
        <f t="shared" si="2"/>
        <v>868070999.05979633</v>
      </c>
      <c r="J16" s="15">
        <f t="shared" si="2"/>
        <v>1003189159.1812558</v>
      </c>
      <c r="K16" s="15">
        <f t="shared" si="2"/>
        <v>1136134476.1013455</v>
      </c>
      <c r="L16" s="15">
        <f t="shared" si="2"/>
        <v>1260418510.9204383</v>
      </c>
      <c r="M16" s="15">
        <f t="shared" si="2"/>
        <v>1369143901.2604678</v>
      </c>
      <c r="N16" s="15">
        <f t="shared" si="2"/>
        <v>1455578873.4141216</v>
      </c>
    </row>
    <row r="17" spans="2:14" x14ac:dyDescent="0.25">
      <c r="B17" s="1" t="s">
        <v>231</v>
      </c>
      <c r="C17" s="26">
        <f>+C18/C16</f>
        <v>0.11910906364905774</v>
      </c>
      <c r="D17" s="26">
        <f>+D18/D16</f>
        <v>0.11400948126998035</v>
      </c>
      <c r="E17" s="26">
        <f>+$F$7</f>
        <v>0.11655927245951905</v>
      </c>
      <c r="F17" s="26">
        <f t="shared" ref="F17:N17" si="3">+$F$7</f>
        <v>0.11655927245951905</v>
      </c>
      <c r="G17" s="26">
        <f t="shared" si="3"/>
        <v>0.11655927245951905</v>
      </c>
      <c r="H17" s="26">
        <f t="shared" si="3"/>
        <v>0.11655927245951905</v>
      </c>
      <c r="I17" s="26">
        <f t="shared" si="3"/>
        <v>0.11655927245951905</v>
      </c>
      <c r="J17" s="26">
        <f t="shared" si="3"/>
        <v>0.11655927245951905</v>
      </c>
      <c r="K17" s="26">
        <f t="shared" si="3"/>
        <v>0.11655927245951905</v>
      </c>
      <c r="L17" s="26">
        <f t="shared" si="3"/>
        <v>0.11655927245951905</v>
      </c>
      <c r="M17" s="26">
        <f t="shared" si="3"/>
        <v>0.11655927245951905</v>
      </c>
      <c r="N17" s="26">
        <f t="shared" si="3"/>
        <v>0.11655927245951905</v>
      </c>
    </row>
    <row r="18" spans="2:14" x14ac:dyDescent="0.25">
      <c r="B18" s="1" t="s">
        <v>155</v>
      </c>
      <c r="C18" s="24">
        <f>+IS!C16</f>
        <v>29530003</v>
      </c>
      <c r="D18" s="24">
        <f>+IS!D16</f>
        <v>35934366</v>
      </c>
      <c r="E18" s="15">
        <f>+E16*E17</f>
        <v>46705301.701961964</v>
      </c>
      <c r="F18" s="15">
        <f>+F16*F17</f>
        <v>58296438.162896894</v>
      </c>
      <c r="G18" s="15">
        <f>+G16*G17</f>
        <v>71415781.192025065</v>
      </c>
      <c r="H18" s="15">
        <f>+H16*H17</f>
        <v>85835676.636906996</v>
      </c>
      <c r="I18" s="15">
        <f>+I16*I17</f>
        <v>101181724.09361771</v>
      </c>
      <c r="J18" s="15">
        <f>+J16*J17</f>
        <v>116930998.53344382</v>
      </c>
      <c r="K18" s="15">
        <f>+K16*K17</f>
        <v>132427007.95054968</v>
      </c>
      <c r="L18" s="15">
        <f>+L16*L17</f>
        <v>146913464.62739664</v>
      </c>
      <c r="M18" s="15">
        <f>+M16*M17</f>
        <v>159586417.02330771</v>
      </c>
      <c r="N18" s="15">
        <f>+N16*N17</f>
        <v>169661214.49259639</v>
      </c>
    </row>
    <row r="19" spans="2:14" x14ac:dyDescent="0.25">
      <c r="B19" s="1" t="s">
        <v>45</v>
      </c>
      <c r="C19" s="26">
        <f>+C5</f>
        <v>0.25</v>
      </c>
      <c r="D19" s="26">
        <f>+$C$19</f>
        <v>0.25</v>
      </c>
      <c r="E19" s="26">
        <f t="shared" ref="E19:N19" si="4">+$C$19</f>
        <v>0.25</v>
      </c>
      <c r="F19" s="26">
        <f t="shared" si="4"/>
        <v>0.25</v>
      </c>
      <c r="G19" s="26">
        <f t="shared" si="4"/>
        <v>0.25</v>
      </c>
      <c r="H19" s="26">
        <f t="shared" si="4"/>
        <v>0.25</v>
      </c>
      <c r="I19" s="26">
        <f t="shared" si="4"/>
        <v>0.25</v>
      </c>
      <c r="J19" s="26">
        <f t="shared" si="4"/>
        <v>0.25</v>
      </c>
      <c r="K19" s="26">
        <f t="shared" si="4"/>
        <v>0.25</v>
      </c>
      <c r="L19" s="26">
        <f t="shared" si="4"/>
        <v>0.25</v>
      </c>
      <c r="M19" s="26">
        <f t="shared" si="4"/>
        <v>0.25</v>
      </c>
      <c r="N19" s="26">
        <f t="shared" si="4"/>
        <v>0.25</v>
      </c>
    </row>
    <row r="20" spans="2:14" x14ac:dyDescent="0.25">
      <c r="B20" s="1" t="s">
        <v>235</v>
      </c>
      <c r="C20" s="58">
        <f>+C18*(1-C19)</f>
        <v>22147502.25</v>
      </c>
      <c r="D20" s="58">
        <f>+D18*(1-D19)</f>
        <v>26950774.5</v>
      </c>
      <c r="E20" s="58">
        <f t="shared" ref="E20:N20" si="5">+E18*(1-E19)</f>
        <v>35028976.276471473</v>
      </c>
      <c r="F20" s="58">
        <f t="shared" si="5"/>
        <v>43722328.622172669</v>
      </c>
      <c r="G20" s="58">
        <f t="shared" si="5"/>
        <v>53561835.894018799</v>
      </c>
      <c r="H20" s="58">
        <f t="shared" si="5"/>
        <v>64376757.477680251</v>
      </c>
      <c r="I20" s="58">
        <f t="shared" si="5"/>
        <v>75886293.070213288</v>
      </c>
      <c r="J20" s="58">
        <f t="shared" si="5"/>
        <v>87698248.900082871</v>
      </c>
      <c r="K20" s="58">
        <f t="shared" si="5"/>
        <v>99320255.962912261</v>
      </c>
      <c r="L20" s="58">
        <f t="shared" si="5"/>
        <v>110185098.47054748</v>
      </c>
      <c r="M20" s="58">
        <f t="shared" si="5"/>
        <v>119689812.76748079</v>
      </c>
      <c r="N20" s="58">
        <f t="shared" si="5"/>
        <v>127245910.86944729</v>
      </c>
    </row>
    <row r="21" spans="2:14" x14ac:dyDescent="0.25">
      <c r="B21" s="1" t="s">
        <v>116</v>
      </c>
      <c r="C21" s="26">
        <f>+C22/C16</f>
        <v>2.4779151832470574E-2</v>
      </c>
      <c r="D21" s="26">
        <f>+D22/D16</f>
        <v>7.6683977747431326E-2</v>
      </c>
      <c r="E21" s="26">
        <f>+$F$8</f>
        <v>0.04</v>
      </c>
      <c r="F21" s="26">
        <f t="shared" ref="F21:N21" si="6">+$F$8</f>
        <v>0.04</v>
      </c>
      <c r="G21" s="26">
        <f t="shared" si="6"/>
        <v>0.04</v>
      </c>
      <c r="H21" s="26">
        <f t="shared" si="6"/>
        <v>0.04</v>
      </c>
      <c r="I21" s="26">
        <f t="shared" si="6"/>
        <v>0.04</v>
      </c>
      <c r="J21" s="26">
        <f t="shared" si="6"/>
        <v>0.04</v>
      </c>
      <c r="K21" s="26">
        <f t="shared" si="6"/>
        <v>0.04</v>
      </c>
      <c r="L21" s="26">
        <f t="shared" si="6"/>
        <v>0.04</v>
      </c>
      <c r="M21" s="26">
        <f t="shared" si="6"/>
        <v>0.04</v>
      </c>
      <c r="N21" s="26">
        <f t="shared" si="6"/>
        <v>0.04</v>
      </c>
    </row>
    <row r="22" spans="2:14" x14ac:dyDescent="0.25">
      <c r="B22" s="1" t="s">
        <v>36</v>
      </c>
      <c r="C22" s="24">
        <f>+'Análisis Financiero'!D6</f>
        <v>6143348</v>
      </c>
      <c r="D22" s="24">
        <f>+'Análisis Financiero'!E6</f>
        <v>24169833</v>
      </c>
      <c r="E22" s="15">
        <f>+E16*E21</f>
        <v>16028000.421221806</v>
      </c>
      <c r="F22" s="15">
        <f>+F16*F21</f>
        <v>20005765.97049135</v>
      </c>
      <c r="G22" s="15">
        <f>+G16*G21</f>
        <v>24507970.815218568</v>
      </c>
      <c r="H22" s="15">
        <f>+H16*H21</f>
        <v>29456490.18758852</v>
      </c>
      <c r="I22" s="15">
        <f>+I16*I21</f>
        <v>34722839.962391853</v>
      </c>
      <c r="J22" s="15">
        <f>+J16*J21</f>
        <v>40127566.367250234</v>
      </c>
      <c r="K22" s="15">
        <f>+K16*K21</f>
        <v>45445379.044053823</v>
      </c>
      <c r="L22" s="15">
        <f>+L16*L21</f>
        <v>50416740.436817534</v>
      </c>
      <c r="M22" s="15">
        <f>+M16*M21</f>
        <v>54765756.050418712</v>
      </c>
      <c r="N22" s="15">
        <f>+N16*N21</f>
        <v>58223154.936564863</v>
      </c>
    </row>
    <row r="23" spans="2:14" x14ac:dyDescent="0.25">
      <c r="B23" s="1" t="s">
        <v>207</v>
      </c>
      <c r="C23" s="26">
        <f>+C24/C16</f>
        <v>0.17683149618276464</v>
      </c>
      <c r="D23" s="26">
        <f>+D24/D16</f>
        <v>0.15795169975684603</v>
      </c>
      <c r="E23" s="26">
        <f>+$F$9</f>
        <v>0.15</v>
      </c>
      <c r="F23" s="26">
        <f t="shared" ref="F23:N23" si="7">+$F$9</f>
        <v>0.15</v>
      </c>
      <c r="G23" s="26">
        <f t="shared" si="7"/>
        <v>0.15</v>
      </c>
      <c r="H23" s="26">
        <f t="shared" si="7"/>
        <v>0.15</v>
      </c>
      <c r="I23" s="26">
        <f t="shared" si="7"/>
        <v>0.15</v>
      </c>
      <c r="J23" s="26">
        <f t="shared" si="7"/>
        <v>0.15</v>
      </c>
      <c r="K23" s="26">
        <f t="shared" si="7"/>
        <v>0.15</v>
      </c>
      <c r="L23" s="26">
        <f t="shared" si="7"/>
        <v>0.15</v>
      </c>
      <c r="M23" s="26">
        <f t="shared" si="7"/>
        <v>0.15</v>
      </c>
      <c r="N23" s="26">
        <f t="shared" si="7"/>
        <v>0.15</v>
      </c>
    </row>
    <row r="24" spans="2:14" x14ac:dyDescent="0.25">
      <c r="B24" s="1" t="s">
        <v>218</v>
      </c>
      <c r="C24" s="24">
        <f>+'Análisis Financiero'!D41</f>
        <v>43840783</v>
      </c>
      <c r="D24" s="24">
        <f>+'Análisis Financiero'!E41</f>
        <v>49784405</v>
      </c>
      <c r="E24" s="15">
        <f>+E16*E23</f>
        <v>60105001.579581767</v>
      </c>
      <c r="F24" s="15">
        <f>+F16*F23</f>
        <v>75021622.389342561</v>
      </c>
      <c r="G24" s="15">
        <f>+G16*G23</f>
        <v>91904890.557069629</v>
      </c>
      <c r="H24" s="15">
        <f>+H16*H23</f>
        <v>110461838.20345695</v>
      </c>
      <c r="I24" s="15">
        <f>+I16*I23</f>
        <v>130210649.85896945</v>
      </c>
      <c r="J24" s="15">
        <f>+J16*J23</f>
        <v>150478373.87718835</v>
      </c>
      <c r="K24" s="15">
        <f>+K16*K23</f>
        <v>170420171.41520181</v>
      </c>
      <c r="L24" s="15">
        <f>+L16*L23</f>
        <v>189062776.63806573</v>
      </c>
      <c r="M24" s="15">
        <f>+M16*M23</f>
        <v>205371585.18907017</v>
      </c>
      <c r="N24" s="15">
        <f>+N16*N23</f>
        <v>218336831.01211825</v>
      </c>
    </row>
    <row r="25" spans="2:14" x14ac:dyDescent="0.25">
      <c r="B25" s="1" t="s">
        <v>211</v>
      </c>
      <c r="C25" s="24">
        <f>+'Análisis Financiero'!D47</f>
        <v>62676554</v>
      </c>
      <c r="D25" s="24">
        <f>+'Análisis Financiero'!E47</f>
        <v>81525292</v>
      </c>
      <c r="E25" s="15">
        <f>+E24+E22</f>
        <v>76133002.000803575</v>
      </c>
      <c r="F25" s="15">
        <f t="shared" ref="F25:N25" si="8">+F24+F22</f>
        <v>95027388.359833911</v>
      </c>
      <c r="G25" s="15">
        <f t="shared" si="8"/>
        <v>116412861.3722882</v>
      </c>
      <c r="H25" s="15">
        <f t="shared" si="8"/>
        <v>139918328.39104548</v>
      </c>
      <c r="I25" s="15">
        <f t="shared" si="8"/>
        <v>164933489.8213613</v>
      </c>
      <c r="J25" s="15">
        <f t="shared" si="8"/>
        <v>190605940.24443859</v>
      </c>
      <c r="K25" s="15">
        <f t="shared" si="8"/>
        <v>215865550.45925564</v>
      </c>
      <c r="L25" s="15">
        <f t="shared" si="8"/>
        <v>239479517.07488325</v>
      </c>
      <c r="M25" s="15">
        <f t="shared" si="8"/>
        <v>260137341.23948887</v>
      </c>
      <c r="N25" s="15">
        <f t="shared" si="8"/>
        <v>276559985.94868314</v>
      </c>
    </row>
    <row r="26" spans="2:14" x14ac:dyDescent="0.25">
      <c r="B26" s="1" t="s">
        <v>220</v>
      </c>
      <c r="C26" s="24"/>
      <c r="D26" s="24">
        <f>+D25-C25</f>
        <v>18848738</v>
      </c>
      <c r="E26" s="24">
        <f t="shared" ref="E26:N26" si="9">+E25-D25</f>
        <v>-5392289.9991964251</v>
      </c>
      <c r="F26" s="24">
        <f t="shared" si="9"/>
        <v>18894386.359030336</v>
      </c>
      <c r="G26" s="24">
        <f t="shared" si="9"/>
        <v>21385473.012454286</v>
      </c>
      <c r="H26" s="24">
        <f t="shared" si="9"/>
        <v>23505467.018757284</v>
      </c>
      <c r="I26" s="24">
        <f t="shared" si="9"/>
        <v>25015161.430315822</v>
      </c>
      <c r="J26" s="24">
        <f t="shared" si="9"/>
        <v>25672450.423077285</v>
      </c>
      <c r="K26" s="24">
        <f t="shared" si="9"/>
        <v>25259610.214817047</v>
      </c>
      <c r="L26" s="24">
        <f t="shared" si="9"/>
        <v>23613966.615627617</v>
      </c>
      <c r="M26" s="24">
        <f t="shared" si="9"/>
        <v>20657824.164605618</v>
      </c>
      <c r="N26" s="24">
        <f t="shared" si="9"/>
        <v>16422644.709194273</v>
      </c>
    </row>
    <row r="27" spans="2:14" hidden="1" x14ac:dyDescent="0.25">
      <c r="B27" s="1" t="s">
        <v>216</v>
      </c>
      <c r="C27" s="24"/>
      <c r="D27" s="24" t="e">
        <f>+(D24-C24)+#REF!</f>
        <v>#REF!</v>
      </c>
      <c r="E27" s="24" t="e">
        <f>+(E24-D24)+#REF!</f>
        <v>#REF!</v>
      </c>
      <c r="F27" s="24" t="e">
        <f>+(F24-E24)+#REF!</f>
        <v>#REF!</v>
      </c>
      <c r="G27" s="24" t="e">
        <f>+(G24-F24)+#REF!</f>
        <v>#REF!</v>
      </c>
      <c r="H27" s="24" t="e">
        <f>+(H24-G24)+#REF!</f>
        <v>#REF!</v>
      </c>
      <c r="I27" s="24" t="e">
        <f>+(I24-H24)+#REF!</f>
        <v>#REF!</v>
      </c>
      <c r="J27" s="24" t="e">
        <f>+(J24-I24)+#REF!</f>
        <v>#REF!</v>
      </c>
      <c r="K27" s="24" t="e">
        <f>+(K24-J24)+#REF!</f>
        <v>#REF!</v>
      </c>
      <c r="L27" s="24" t="e">
        <f>+(L24-K24)+#REF!</f>
        <v>#REF!</v>
      </c>
      <c r="M27" s="24" t="e">
        <f>+(M24-L24)+#REF!</f>
        <v>#REF!</v>
      </c>
      <c r="N27" s="24" t="e">
        <f>+(N24-M24)+#REF!</f>
        <v>#REF!</v>
      </c>
    </row>
    <row r="28" spans="2:14" s="82" customFormat="1" ht="14.25" customHeight="1" x14ac:dyDescent="0.25">
      <c r="C28" s="83"/>
      <c r="D28" s="83"/>
      <c r="E28" s="83"/>
      <c r="F28" s="83"/>
      <c r="G28" s="83"/>
      <c r="H28" s="83"/>
      <c r="I28" s="83"/>
      <c r="J28" s="83"/>
      <c r="K28" s="83"/>
      <c r="L28" s="83"/>
      <c r="M28" s="83"/>
      <c r="N28" s="83"/>
    </row>
    <row r="29" spans="2:14" x14ac:dyDescent="0.25">
      <c r="B29" s="4" t="s">
        <v>217</v>
      </c>
      <c r="C29" s="24"/>
      <c r="D29" s="24"/>
      <c r="E29" s="24">
        <f>+E20-E26</f>
        <v>40421266.275667898</v>
      </c>
      <c r="F29" s="24">
        <f>+F20-F26</f>
        <v>24827942.263142332</v>
      </c>
      <c r="G29" s="24">
        <f>+G20-G26</f>
        <v>32176362.881564513</v>
      </c>
      <c r="H29" s="24">
        <f>+H20-H26</f>
        <v>40871290.458922967</v>
      </c>
      <c r="I29" s="24">
        <f>+I20-I26</f>
        <v>50871131.639897466</v>
      </c>
      <c r="J29" s="24">
        <f>+J20-J26</f>
        <v>62025798.477005586</v>
      </c>
      <c r="K29" s="24">
        <f>+K20-K26</f>
        <v>74060645.748095214</v>
      </c>
      <c r="L29" s="24">
        <f>+L20-L26</f>
        <v>86571131.854919866</v>
      </c>
      <c r="M29" s="24">
        <f>+M20-M26</f>
        <v>99031988.602875173</v>
      </c>
      <c r="N29" s="24">
        <f>+N20-N26</f>
        <v>110823266.16025302</v>
      </c>
    </row>
    <row r="30" spans="2:14" x14ac:dyDescent="0.25">
      <c r="B30" s="6" t="s">
        <v>224</v>
      </c>
      <c r="C30" s="86"/>
      <c r="D30" s="24"/>
      <c r="E30" s="24">
        <f>+E29/(1+$C$3)^E13</f>
        <v>36602602.990191005</v>
      </c>
      <c r="F30" s="24">
        <f>+F29/(1+$C$3)^F13</f>
        <v>20358456.122780468</v>
      </c>
      <c r="G30" s="24">
        <f>+G29/(1+$C$3)^G13</f>
        <v>23891483.730622143</v>
      </c>
      <c r="H30" s="24">
        <f>+H29/(1+$C$3)^H13</f>
        <v>27480623.19934066</v>
      </c>
      <c r="I30" s="24">
        <f>+I29/(1+$C$3)^I13</f>
        <v>30972886.609885555</v>
      </c>
      <c r="J30" s="24">
        <f>+J29/(1+$C$3)^J13</f>
        <v>34196739.844529279</v>
      </c>
      <c r="K30" s="24">
        <f>+K29/(1+$C$3)^K13</f>
        <v>36974464.416508868</v>
      </c>
      <c r="L30" s="24">
        <f>+L29/(1+$C$3)^L13</f>
        <v>39137181.817530327</v>
      </c>
      <c r="M30" s="24">
        <f>+M29/(1+$C$3)^M13</f>
        <v>40540958.364126645</v>
      </c>
      <c r="N30" s="24">
        <f>+N29/(1+$C$3)^N13</f>
        <v>41081993.848316364</v>
      </c>
    </row>
    <row r="31" spans="2:14" x14ac:dyDescent="0.25">
      <c r="B31" s="4" t="s">
        <v>215</v>
      </c>
      <c r="C31" s="23">
        <f>+((1+C4)*N29)/(C3-C4)</f>
        <v>1791705587.6216099</v>
      </c>
      <c r="D31" s="15"/>
      <c r="E31" s="15"/>
      <c r="F31" s="15"/>
      <c r="G31" s="15"/>
      <c r="H31" s="15"/>
      <c r="I31" s="15"/>
    </row>
    <row r="32" spans="2:14" x14ac:dyDescent="0.25">
      <c r="B32" s="4" t="s">
        <v>236</v>
      </c>
      <c r="C32" s="23">
        <f>+C31/(1+C3)^N13</f>
        <v>664182174.7269913</v>
      </c>
      <c r="D32" s="15"/>
      <c r="E32" s="15"/>
      <c r="F32" s="15"/>
      <c r="G32" s="15"/>
      <c r="H32" s="15"/>
      <c r="I32" s="15"/>
    </row>
    <row r="33" spans="2:14" x14ac:dyDescent="0.25">
      <c r="B33" s="4" t="s">
        <v>149</v>
      </c>
      <c r="C33" s="23">
        <f>+SUM(E30:N30)+C32</f>
        <v>995419565.67082262</v>
      </c>
      <c r="D33" s="15"/>
      <c r="E33" s="15"/>
      <c r="F33" s="15"/>
      <c r="G33" s="15"/>
      <c r="H33" s="15"/>
      <c r="I33" s="15"/>
    </row>
    <row r="34" spans="2:14" x14ac:dyDescent="0.25">
      <c r="B34" s="4" t="s">
        <v>237</v>
      </c>
      <c r="C34" s="23">
        <f>+'Análisis Financiero'!E34</f>
        <v>37254208</v>
      </c>
      <c r="D34" s="15"/>
      <c r="E34" s="15"/>
      <c r="F34" s="15"/>
      <c r="G34" s="15"/>
      <c r="H34" s="15"/>
      <c r="I34" s="15"/>
    </row>
    <row r="35" spans="2:14" x14ac:dyDescent="0.25">
      <c r="B35" s="4" t="s">
        <v>47</v>
      </c>
      <c r="C35" s="29">
        <f>+C33-C34</f>
        <v>958165357.67082262</v>
      </c>
      <c r="D35" s="15"/>
      <c r="E35" s="15"/>
      <c r="F35" s="15"/>
      <c r="G35" s="15"/>
      <c r="H35" s="15"/>
      <c r="I35" s="15"/>
    </row>
    <row r="36" spans="2:14" x14ac:dyDescent="0.25">
      <c r="B36" s="4" t="s">
        <v>225</v>
      </c>
      <c r="C36" s="23">
        <f>+C35/Noticia!D4</f>
        <v>26.172230474483001</v>
      </c>
      <c r="D36" s="15"/>
      <c r="E36" s="15"/>
      <c r="F36" s="15"/>
      <c r="G36" s="15"/>
      <c r="H36" s="15"/>
      <c r="I36" s="15"/>
    </row>
    <row r="37" spans="2:14" x14ac:dyDescent="0.25">
      <c r="C37" s="24"/>
      <c r="D37" s="24"/>
      <c r="E37" s="15"/>
      <c r="F37" s="15"/>
      <c r="G37" s="15"/>
      <c r="H37" s="15"/>
      <c r="I37" s="15"/>
      <c r="J37" s="15"/>
      <c r="K37" s="15"/>
      <c r="L37" s="15"/>
      <c r="M37" s="15"/>
      <c r="N37" s="15"/>
    </row>
    <row r="38" spans="2:14" x14ac:dyDescent="0.25">
      <c r="C38" s="24"/>
      <c r="D38" s="24"/>
      <c r="E38" s="15"/>
      <c r="F38" s="15"/>
      <c r="G38" s="15"/>
      <c r="H38" s="15"/>
      <c r="I38" s="15"/>
      <c r="J38" s="15"/>
      <c r="K38" s="15"/>
      <c r="L38" s="15"/>
      <c r="M38" s="15"/>
      <c r="N38" s="1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Noticia</vt:lpstr>
      <vt:lpstr>Empresas comparables</vt:lpstr>
      <vt:lpstr>BS</vt:lpstr>
      <vt:lpstr>IS</vt:lpstr>
      <vt:lpstr>Análisis Financiero</vt:lpstr>
      <vt:lpstr>Análisis de comparabilidad</vt:lpstr>
      <vt:lpstr>Valoración por mútiplos</vt:lpstr>
      <vt:lpstr>WACC</vt:lpstr>
      <vt:lpstr>Supuestos DCF - Perpetuo</vt:lpstr>
      <vt:lpstr>Supuestos DCF - Múltiplo</vt:lpstr>
      <vt:lpstr>DCF Pesismista - Perpetuo</vt:lpstr>
      <vt:lpstr>DCF Base - Perpetuo</vt:lpstr>
      <vt:lpstr>DCF Optimista - Perpetuo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Óscar Eduardo Rocha Mora</dc:creator>
  <cp:lastModifiedBy>Óscar Eduardo Rocha Mora</cp:lastModifiedBy>
  <dcterms:created xsi:type="dcterms:W3CDTF">2025-11-20T16:40:47Z</dcterms:created>
  <dcterms:modified xsi:type="dcterms:W3CDTF">2025-12-18T16:20:38Z</dcterms:modified>
</cp:coreProperties>
</file>