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scar\Desktop\Backup\Asuntos personales\UCR\2026\2026_II_Cuatrimestre\Gestión de Otros Riesgos\Caso 3\fINAL\"/>
    </mc:Choice>
  </mc:AlternateContent>
  <xr:revisionPtr revIDLastSave="0" documentId="13_ncr:1_{50C5B354-A1B4-4ABE-8D89-85EE9ADD829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Balance" sheetId="2" r:id="rId1"/>
    <sheet name="Liquidez" sheetId="3" r:id="rId2"/>
    <sheet name="Escenarios" sheetId="4" r:id="rId3"/>
    <sheet name="Fuentes" sheetId="5" state="hidden" r:id="rId4"/>
    <sheet name="Reputacional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6" l="1"/>
  <c r="G8" i="6"/>
  <c r="H5" i="6"/>
  <c r="H6" i="6"/>
  <c r="H7" i="6"/>
  <c r="H9" i="6"/>
  <c r="H4" i="6"/>
  <c r="G5" i="6"/>
  <c r="G6" i="6"/>
  <c r="G7" i="6"/>
  <c r="G9" i="6"/>
  <c r="G4" i="6"/>
  <c r="C9" i="4"/>
  <c r="B3" i="4"/>
  <c r="B4" i="4"/>
  <c r="B5" i="4"/>
  <c r="B6" i="4"/>
  <c r="B2" i="4"/>
  <c r="D13" i="4"/>
  <c r="C13" i="4"/>
  <c r="D10" i="4"/>
  <c r="C10" i="4"/>
  <c r="D9" i="4"/>
  <c r="F8" i="2"/>
  <c r="B8" i="2"/>
  <c r="H6" i="2"/>
  <c r="D6" i="2"/>
  <c r="H5" i="2"/>
  <c r="D5" i="2"/>
  <c r="H4" i="2"/>
  <c r="D4" i="2"/>
  <c r="H3" i="2"/>
  <c r="D3" i="2"/>
  <c r="H2" i="2"/>
  <c r="D2" i="2"/>
  <c r="B13" i="4" l="1"/>
  <c r="B10" i="4"/>
  <c r="B9" i="4"/>
  <c r="C8" i="2"/>
  <c r="B11" i="2" s="1"/>
  <c r="G8" i="2"/>
  <c r="B12" i="2"/>
  <c r="C11" i="4"/>
  <c r="C12" i="4" s="1"/>
  <c r="D11" i="4"/>
  <c r="D12" i="4" s="1"/>
  <c r="B11" i="4"/>
  <c r="B12" i="4" l="1"/>
  <c r="B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tc={98EAC59F-9E9B-445D-AF6F-D160DC0C1294}</author>
  </authors>
  <commentList>
    <comment ref="A13" authorId="0" shapeId="0" xr:uid="{98EAC59F-9E9B-445D-AF6F-D160DC0C12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Rendimiento activo - costo pasivo.</t>
      </text>
    </comment>
  </commentList>
</comments>
</file>

<file path=xl/sharedStrings.xml><?xml version="1.0" encoding="utf-8"?>
<sst xmlns="http://schemas.openxmlformats.org/spreadsheetml/2006/main" count="105" uniqueCount="80">
  <si>
    <t>Activo</t>
  </si>
  <si>
    <t>Peso</t>
  </si>
  <si>
    <t>Rendimiento</t>
  </si>
  <si>
    <t>Aporte rendimiento</t>
  </si>
  <si>
    <t>Pasivo</t>
  </si>
  <si>
    <t>Costo</t>
  </si>
  <si>
    <t>Aporte costo</t>
  </si>
  <si>
    <t>Efectivo</t>
  </si>
  <si>
    <t>Vista</t>
  </si>
  <si>
    <t>Bonos Gobierno corto plazo</t>
  </si>
  <si>
    <t>Plazo público</t>
  </si>
  <si>
    <t>Fondos inmobiliarios</t>
  </si>
  <si>
    <t>Fondeo institucional local</t>
  </si>
  <si>
    <t>Cartera crédito 5 años plazo</t>
  </si>
  <si>
    <t>Fondeo en Bolsa</t>
  </si>
  <si>
    <t>Cartera crédito largo plazo</t>
  </si>
  <si>
    <t>Fondeo institucional en US</t>
  </si>
  <si>
    <t>Total activo</t>
  </si>
  <si>
    <t>Total pasivo</t>
  </si>
  <si>
    <t>Indicador</t>
  </si>
  <si>
    <t>Resultado</t>
  </si>
  <si>
    <t>Rendimiento promedio activo</t>
  </si>
  <si>
    <t>Costo promedio pasivo</t>
  </si>
  <si>
    <t>Margen financiero actual</t>
  </si>
  <si>
    <t>Supuesto</t>
  </si>
  <si>
    <t>Distribución Normal; desviación promedio 2%.</t>
  </si>
  <si>
    <t>Renovación 50%.</t>
  </si>
  <si>
    <t>Vence &gt; 2 años.</t>
  </si>
  <si>
    <t>Mercado.</t>
  </si>
  <si>
    <t>Actual</t>
  </si>
  <si>
    <t>Escenario 1 (Moderado)</t>
  </si>
  <si>
    <t>Escenario Meta 5%</t>
  </si>
  <si>
    <t>Comentario</t>
  </si>
  <si>
    <t>Liquidez inmediata</t>
  </si>
  <si>
    <t>Liquidez secundaria</t>
  </si>
  <si>
    <t>Menos líquido</t>
  </si>
  <si>
    <t>Cartera crédito 5 años</t>
  </si>
  <si>
    <t>Productivo, requiere fondeo estable</t>
  </si>
  <si>
    <t>Mayor rentabilidad y mayor descalce</t>
  </si>
  <si>
    <t>Total pesos</t>
  </si>
  <si>
    <t>Rendimiento activo</t>
  </si>
  <si>
    <t>Costo pasivo actual</t>
  </si>
  <si>
    <t>Margen estimado</t>
  </si>
  <si>
    <t>Liquidez total</t>
  </si>
  <si>
    <t>Elemento</t>
  </si>
  <si>
    <t>Fuente</t>
  </si>
  <si>
    <t>Ubicación</t>
  </si>
  <si>
    <t>Uso</t>
  </si>
  <si>
    <t>Balance y supuestos del caso</t>
  </si>
  <si>
    <t>Enunciado del usuario</t>
  </si>
  <si>
    <t>Tabla de activo/pasivo y supuestos</t>
  </si>
  <si>
    <t>Cálculo de rendimiento, costo, margen y zonas de liquidez</t>
  </si>
  <si>
    <t>Definición de riesgo de liquidez</t>
  </si>
  <si>
    <t>Clase 6. 25 junio.pdf</t>
  </si>
  <si>
    <t>p. 2</t>
  </si>
  <si>
    <t>Base conceptual</t>
  </si>
  <si>
    <t>Política de liquidez</t>
  </si>
  <si>
    <t>p. 24</t>
  </si>
  <si>
    <t>Composición, vencimiento, diversificación, moneda y activos líquidos</t>
  </si>
  <si>
    <t>Costo de la liquidez</t>
  </si>
  <si>
    <t>p. 9</t>
  </si>
  <si>
    <t>Costo de oportunidad de caja e inversiones</t>
  </si>
  <si>
    <t>Fondeo estable neto</t>
  </si>
  <si>
    <t>p. 23</t>
  </si>
  <si>
    <t>Relación entre activos y pasivos estables</t>
  </si>
  <si>
    <t>Pruebas de estrés</t>
  </si>
  <si>
    <t>p. 47</t>
  </si>
  <si>
    <t>Evaluar impacto del estrés y planes de contingencia</t>
  </si>
  <si>
    <t>Dato real</t>
  </si>
  <si>
    <t>Resultado encuesta</t>
  </si>
  <si>
    <t>Dato de la Competencia</t>
  </si>
  <si>
    <t>Industria</t>
  </si>
  <si>
    <t>Realidad</t>
  </si>
  <si>
    <t>Percepción</t>
  </si>
  <si>
    <t>Solvencia</t>
  </si>
  <si>
    <t>Eficiencia de servicio</t>
  </si>
  <si>
    <t>Buenos rendimientos</t>
  </si>
  <si>
    <t>Cumplimiento regulatorio</t>
  </si>
  <si>
    <t>Pagos en tiempo óptimo</t>
  </si>
  <si>
    <t>Incentivos por buen desempeño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</si>
</sst>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name val="Carlito"/>
    </font>
    <font>
      <b/>
      <sz val="11"/>
      <name val="Aptos Narrow"/>
      <family val="2"/>
    </font>
    <font>
      <b/>
      <sz val="11"/>
      <name val="Calibri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10" fontId="0" fillId="0" borderId="0" xfId="0" applyNumberFormat="1" applyAlignment="1">
      <alignment wrapText="1"/>
    </xf>
    <xf numFmtId="10" fontId="1" fillId="2" borderId="0" xfId="0" applyNumberFormat="1" applyFont="1" applyFill="1" applyAlignment="1">
      <alignment horizontal="center" vertical="center"/>
    </xf>
    <xf numFmtId="0" fontId="3" fillId="0" borderId="0" xfId="0" applyFont="1"/>
    <xf numFmtId="10" fontId="3" fillId="0" borderId="0" xfId="1" applyNumberFormat="1" applyFont="1"/>
    <xf numFmtId="0" fontId="3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2" xfId="0" applyFont="1" applyBorder="1" applyAlignment="1">
      <alignment wrapText="1"/>
    </xf>
    <xf numFmtId="9" fontId="7" fillId="0" borderId="3" xfId="0" applyNumberFormat="1" applyFont="1" applyBorder="1" applyAlignment="1">
      <alignment wrapText="1"/>
    </xf>
    <xf numFmtId="9" fontId="7" fillId="0" borderId="4" xfId="0" applyNumberFormat="1" applyFont="1" applyBorder="1" applyAlignment="1">
      <alignment wrapText="1"/>
    </xf>
    <xf numFmtId="0" fontId="7" fillId="0" borderId="5" xfId="0" applyFont="1" applyBorder="1"/>
    <xf numFmtId="0" fontId="6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7" xfId="0" applyFont="1" applyBorder="1" applyAlignment="1">
      <alignment wrapText="1"/>
    </xf>
    <xf numFmtId="9" fontId="7" fillId="0" borderId="6" xfId="0" applyNumberFormat="1" applyFont="1" applyBorder="1" applyAlignment="1">
      <alignment wrapText="1"/>
    </xf>
    <xf numFmtId="9" fontId="7" fillId="0" borderId="7" xfId="0" applyNumberFormat="1" applyFont="1" applyBorder="1" applyAlignment="1">
      <alignment wrapText="1"/>
    </xf>
    <xf numFmtId="2" fontId="8" fillId="0" borderId="0" xfId="0" quotePrefix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Reputacional!$B$4</c:f>
              <c:strCache>
                <c:ptCount val="1"/>
                <c:pt idx="0">
                  <c:v>Solvencia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Reputacional!$H$4</c:f>
              <c:numCache>
                <c:formatCode>0.00</c:formatCode>
                <c:ptCount val="1"/>
                <c:pt idx="0">
                  <c:v>6.6666666666666735E-2</c:v>
                </c:pt>
              </c:numCache>
            </c:numRef>
          </c:xVal>
          <c:yVal>
            <c:numRef>
              <c:f>Reputacional!$G$4</c:f>
              <c:numCache>
                <c:formatCode>0.00</c:formatCode>
                <c:ptCount val="1"/>
                <c:pt idx="0">
                  <c:v>-0.13333333333333328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77-4594-B133-8174BE3E447C}"/>
            </c:ext>
          </c:extLst>
        </c:ser>
        <c:ser>
          <c:idx val="1"/>
          <c:order val="1"/>
          <c:tx>
            <c:strRef>
              <c:f>{"Eficiencia"}</c:f>
              <c:strCache>
                <c:ptCount val="1"/>
                <c:pt idx="0">
                  <c:v>Eficiencia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Reputacional!$H$5</c:f>
              <c:numCache>
                <c:formatCode>0.00</c:formatCode>
                <c:ptCount val="1"/>
                <c:pt idx="0">
                  <c:v>-6.6666666666666666E-2</c:v>
                </c:pt>
              </c:numCache>
            </c:numRef>
          </c:xVal>
          <c:yVal>
            <c:numRef>
              <c:f>Reputacional!$G$5</c:f>
              <c:numCache>
                <c:formatCode>0.00</c:formatCode>
                <c:ptCount val="1"/>
                <c:pt idx="0">
                  <c:v>6.6666666666666666E-2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77-4594-B133-8174BE3E447C}"/>
            </c:ext>
          </c:extLst>
        </c:ser>
        <c:ser>
          <c:idx val="2"/>
          <c:order val="2"/>
          <c:tx>
            <c:strRef>
              <c:f>{"Rendimientos"}</c:f>
              <c:strCache>
                <c:ptCount val="1"/>
                <c:pt idx="0">
                  <c:v>Rendimientos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Reputacional!$H$6</c:f>
              <c:numCache>
                <c:formatCode>0.00</c:formatCode>
                <c:ptCount val="1"/>
                <c:pt idx="0">
                  <c:v>0.23076923076923075</c:v>
                </c:pt>
              </c:numCache>
            </c:numRef>
          </c:xVal>
          <c:yVal>
            <c:numRef>
              <c:f>Reputacional!$G$6</c:f>
              <c:numCache>
                <c:formatCode>0.00</c:formatCode>
                <c:ptCount val="1"/>
                <c:pt idx="0">
                  <c:v>0.53846153846153855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77-4594-B133-8174BE3E447C}"/>
            </c:ext>
          </c:extLst>
        </c:ser>
        <c:ser>
          <c:idx val="3"/>
          <c:order val="3"/>
          <c:tx>
            <c:strRef>
              <c:f>{"Cump.Regulatorio"}</c:f>
              <c:strCache>
                <c:ptCount val="1"/>
                <c:pt idx="0">
                  <c:v>Cump.Regulatorio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Reputacional!$H$7</c:f>
              <c:numCache>
                <c:formatCode>0.00</c:formatCode>
                <c:ptCount val="1"/>
                <c:pt idx="0">
                  <c:v>-0.12500000000000011</c:v>
                </c:pt>
              </c:numCache>
            </c:numRef>
          </c:xVal>
          <c:yVal>
            <c:numRef>
              <c:f>Reputacional!$G$7</c:f>
              <c:numCache>
                <c:formatCode>0.00</c:formatCode>
                <c:ptCount val="1"/>
                <c:pt idx="0">
                  <c:v>-6.2500000000000056E-2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77-4594-B133-8174BE3E447C}"/>
            </c:ext>
          </c:extLst>
        </c:ser>
        <c:ser>
          <c:idx val="4"/>
          <c:order val="4"/>
          <c:tx>
            <c:strRef>
              <c:f>{"Pagos en tiempo"}</c:f>
              <c:strCache>
                <c:ptCount val="1"/>
                <c:pt idx="0">
                  <c:v>Pagos en tiempo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Reputacional!$H$8</c:f>
              <c:numCache>
                <c:formatCode>0.00</c:formatCode>
                <c:ptCount val="1"/>
                <c:pt idx="0">
                  <c:v>0.1</c:v>
                </c:pt>
              </c:numCache>
            </c:numRef>
          </c:xVal>
          <c:yVal>
            <c:numRef>
              <c:f>Reputacional!$G$8</c:f>
              <c:numCache>
                <c:formatCode>0.00</c:formatCode>
                <c:ptCount val="1"/>
                <c:pt idx="0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77-4594-B133-8174BE3E447C}"/>
            </c:ext>
          </c:extLst>
        </c:ser>
        <c:ser>
          <c:idx val="5"/>
          <c:order val="5"/>
          <c:tx>
            <c:strRef>
              <c:f>{"Incentivos"}</c:f>
              <c:strCache>
                <c:ptCount val="1"/>
                <c:pt idx="0">
                  <c:v>Incentivos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Reputacional!$H$9</c:f>
              <c:numCache>
                <c:formatCode>0.00</c:formatCode>
                <c:ptCount val="1"/>
                <c:pt idx="0">
                  <c:v>-0.4</c:v>
                </c:pt>
              </c:numCache>
            </c:numRef>
          </c:xVal>
          <c:yVal>
            <c:numRef>
              <c:f>Reputacional!$G$9</c:f>
              <c:numCache>
                <c:formatCode>0.00</c:formatCode>
                <c:ptCount val="1"/>
                <c:pt idx="0">
                  <c:v>-0.19999999999999996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77-4594-B133-8174BE3E4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776455"/>
        <c:axId val="532778503"/>
      </c:scatterChart>
      <c:valAx>
        <c:axId val="532776455"/>
        <c:scaling>
          <c:orientation val="minMax"/>
          <c:max val="0.4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Percepción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778503"/>
        <c:crosses val="autoZero"/>
        <c:crossBetween val="midCat"/>
      </c:valAx>
      <c:valAx>
        <c:axId val="532778503"/>
        <c:scaling>
          <c:orientation val="minMax"/>
          <c:max val="0.6"/>
          <c:min val="-0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776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0</xdr:row>
      <xdr:rowOff>66675</xdr:rowOff>
    </xdr:from>
    <xdr:to>
      <xdr:col>19</xdr:col>
      <xdr:colOff>47625</xdr:colOff>
      <xdr:row>18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0ED200-E5EB-BC2D-1A1B-7AAD83649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Óscar Eduardo Rocha Mora" id="{EA5A471E-C7F7-44CE-AB28-5B763EA1AADF}" userId="548d23865cc1b1fd" providerId="Windows Live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" dT="2026-07-16T16:36:42.56" personId="{EA5A471E-C7F7-44CE-AB28-5B763EA1AADF}" id="{98EAC59F-9E9B-445D-AF6F-D160DC0C1294}">
    <text>Rendimiento activo - costo pasivo.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D20" sqref="D20"/>
    </sheetView>
  </sheetViews>
  <sheetFormatPr defaultRowHeight="14.25"/>
  <cols>
    <col min="1" max="1" width="42" customWidth="1"/>
    <col min="2" max="2" width="37" customWidth="1"/>
    <col min="3" max="3" width="12.125" bestFit="1" customWidth="1"/>
    <col min="4" max="4" width="32.75" customWidth="1"/>
    <col min="5" max="5" width="20.375" customWidth="1"/>
    <col min="6" max="6" width="14.125" customWidth="1"/>
    <col min="7" max="7" width="16.75" customWidth="1"/>
    <col min="8" max="8" width="23.75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</row>
    <row r="2" spans="1:8" ht="15">
      <c r="A2" s="7" t="s">
        <v>7</v>
      </c>
      <c r="B2" s="2">
        <v>0.1</v>
      </c>
      <c r="C2" s="2">
        <v>0.02</v>
      </c>
      <c r="D2" s="2">
        <f>B2*C2</f>
        <v>2E-3</v>
      </c>
      <c r="E2" t="s">
        <v>8</v>
      </c>
      <c r="F2" s="2">
        <v>0.25</v>
      </c>
      <c r="G2" s="2">
        <v>0.01</v>
      </c>
      <c r="H2" s="2">
        <f>F2*G2</f>
        <v>2.5000000000000001E-3</v>
      </c>
    </row>
    <row r="3" spans="1:8" ht="15">
      <c r="A3" s="7" t="s">
        <v>9</v>
      </c>
      <c r="B3" s="2">
        <v>0.2</v>
      </c>
      <c r="C3" s="2">
        <v>0.05</v>
      </c>
      <c r="D3" s="2">
        <f>B3*C3</f>
        <v>1.0000000000000002E-2</v>
      </c>
      <c r="E3" t="s">
        <v>10</v>
      </c>
      <c r="F3" s="2">
        <v>0.3</v>
      </c>
      <c r="G3" s="2">
        <v>0.03</v>
      </c>
      <c r="H3" s="2">
        <f>F3*G3</f>
        <v>8.9999999999999993E-3</v>
      </c>
    </row>
    <row r="4" spans="1:8" ht="15">
      <c r="A4" s="7" t="s">
        <v>11</v>
      </c>
      <c r="B4" s="2">
        <v>0.2</v>
      </c>
      <c r="C4" s="2">
        <v>7.0000000000000007E-2</v>
      </c>
      <c r="D4" s="2">
        <f>B4*C4</f>
        <v>1.4000000000000002E-2</v>
      </c>
      <c r="E4" t="s">
        <v>12</v>
      </c>
      <c r="F4" s="2">
        <v>0.2</v>
      </c>
      <c r="G4" s="2">
        <v>7.0000000000000007E-2</v>
      </c>
      <c r="H4" s="2">
        <f>F4*G4</f>
        <v>1.4000000000000002E-2</v>
      </c>
    </row>
    <row r="5" spans="1:8" ht="15">
      <c r="A5" s="7" t="s">
        <v>13</v>
      </c>
      <c r="B5" s="2">
        <v>0.2</v>
      </c>
      <c r="C5" s="2">
        <v>0.08</v>
      </c>
      <c r="D5" s="2">
        <f>B5*C5</f>
        <v>1.6E-2</v>
      </c>
      <c r="E5" t="s">
        <v>14</v>
      </c>
      <c r="F5" s="2">
        <v>0.15</v>
      </c>
      <c r="G5" s="2">
        <v>0.08</v>
      </c>
      <c r="H5" s="2">
        <f>F5*G5</f>
        <v>1.2E-2</v>
      </c>
    </row>
    <row r="6" spans="1:8" ht="15">
      <c r="A6" s="7" t="s">
        <v>15</v>
      </c>
      <c r="B6" s="2">
        <v>0.3</v>
      </c>
      <c r="C6" s="2">
        <v>0.1</v>
      </c>
      <c r="D6" s="2">
        <f>B6*C6</f>
        <v>0.03</v>
      </c>
      <c r="E6" t="s">
        <v>16</v>
      </c>
      <c r="F6" s="2">
        <v>0.1</v>
      </c>
      <c r="G6" s="2">
        <v>0.06</v>
      </c>
      <c r="H6" s="2">
        <f>F6*G6</f>
        <v>6.0000000000000001E-3</v>
      </c>
    </row>
    <row r="8" spans="1:8" ht="15">
      <c r="A8" s="7" t="s">
        <v>17</v>
      </c>
      <c r="B8" s="8">
        <f>SUM(B2:B6)</f>
        <v>1</v>
      </c>
      <c r="C8" s="8">
        <f>SUM(D2:D6)</f>
        <v>7.2000000000000008E-2</v>
      </c>
      <c r="D8" s="7"/>
      <c r="E8" s="7" t="s">
        <v>18</v>
      </c>
      <c r="F8" s="8">
        <f>SUM(F2:F6)</f>
        <v>1</v>
      </c>
      <c r="G8" s="8">
        <f>SUM(H2:H6)</f>
        <v>4.3500000000000004E-2</v>
      </c>
      <c r="H8" s="7"/>
    </row>
    <row r="10" spans="1:8" ht="15">
      <c r="A10" s="1" t="s">
        <v>19</v>
      </c>
      <c r="B10" s="1" t="s">
        <v>20</v>
      </c>
    </row>
    <row r="11" spans="1:8" ht="15">
      <c r="A11" s="7" t="s">
        <v>21</v>
      </c>
      <c r="B11" s="2">
        <f>C8</f>
        <v>7.2000000000000008E-2</v>
      </c>
    </row>
    <row r="12" spans="1:8" ht="15">
      <c r="A12" s="7" t="s">
        <v>22</v>
      </c>
      <c r="B12" s="2">
        <f>G8</f>
        <v>4.3500000000000004E-2</v>
      </c>
    </row>
    <row r="13" spans="1:8" ht="15">
      <c r="A13" s="7" t="s">
        <v>23</v>
      </c>
      <c r="B13" s="2">
        <f>B11-B12</f>
        <v>2.8500000000000004E-2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4.25"/>
  <cols>
    <col min="1" max="1" width="25.75" customWidth="1"/>
    <col min="2" max="2" width="25" customWidth="1"/>
    <col min="3" max="3" width="33.5" customWidth="1"/>
    <col min="4" max="4" width="32" customWidth="1"/>
  </cols>
  <sheetData>
    <row r="1" spans="1:5" ht="15">
      <c r="A1" s="4" t="s">
        <v>4</v>
      </c>
      <c r="B1" s="4" t="s">
        <v>1</v>
      </c>
      <c r="C1" s="4" t="s">
        <v>5</v>
      </c>
      <c r="D1" s="4" t="s">
        <v>24</v>
      </c>
      <c r="E1" s="3"/>
    </row>
    <row r="2" spans="1:5" ht="29.25">
      <c r="A2" s="9" t="s">
        <v>8</v>
      </c>
      <c r="B2" s="5">
        <v>0.25</v>
      </c>
      <c r="C2" s="5">
        <v>0.01</v>
      </c>
      <c r="D2" s="3" t="s">
        <v>25</v>
      </c>
      <c r="E2" s="3"/>
    </row>
    <row r="3" spans="1:5" ht="15">
      <c r="A3" s="9" t="s">
        <v>10</v>
      </c>
      <c r="B3" s="5">
        <v>0.3</v>
      </c>
      <c r="C3" s="5">
        <v>0.03</v>
      </c>
      <c r="D3" s="3" t="s">
        <v>26</v>
      </c>
      <c r="E3" s="3"/>
    </row>
    <row r="4" spans="1:5" ht="14.25" customHeight="1">
      <c r="A4" s="9" t="s">
        <v>12</v>
      </c>
      <c r="B4" s="5">
        <v>0.2</v>
      </c>
      <c r="C4" s="5">
        <v>7.0000000000000007E-2</v>
      </c>
      <c r="D4" s="3" t="s">
        <v>27</v>
      </c>
      <c r="E4" s="3"/>
    </row>
    <row r="5" spans="1:5" ht="18" customHeight="1">
      <c r="A5" s="9" t="s">
        <v>14</v>
      </c>
      <c r="B5" s="5">
        <v>0.15</v>
      </c>
      <c r="C5" s="5">
        <v>0.08</v>
      </c>
      <c r="D5" s="3" t="s">
        <v>28</v>
      </c>
      <c r="E5" s="3"/>
    </row>
    <row r="6" spans="1:5" ht="15">
      <c r="A6" s="9" t="s">
        <v>16</v>
      </c>
      <c r="B6" s="5">
        <v>0.1</v>
      </c>
      <c r="C6" s="5">
        <v>0.06</v>
      </c>
      <c r="D6" s="3" t="s">
        <v>27</v>
      </c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C8" sqref="C8"/>
    </sheetView>
  </sheetViews>
  <sheetFormatPr defaultRowHeight="14.25"/>
  <cols>
    <col min="1" max="1" width="27.5" customWidth="1"/>
    <col min="2" max="5" width="22" customWidth="1"/>
    <col min="6" max="6" width="35" customWidth="1"/>
  </cols>
  <sheetData>
    <row r="1" spans="1:6" ht="15">
      <c r="A1" s="1" t="s">
        <v>0</v>
      </c>
      <c r="B1" s="1" t="s">
        <v>29</v>
      </c>
      <c r="C1" s="1" t="s">
        <v>30</v>
      </c>
      <c r="D1" s="1" t="s">
        <v>31</v>
      </c>
      <c r="E1" s="1" t="s">
        <v>2</v>
      </c>
      <c r="F1" s="1" t="s">
        <v>32</v>
      </c>
    </row>
    <row r="2" spans="1:6" ht="15">
      <c r="A2" s="7" t="s">
        <v>7</v>
      </c>
      <c r="B2" s="2">
        <f>+Balance!B2</f>
        <v>0.1</v>
      </c>
      <c r="C2" s="2">
        <v>0.08</v>
      </c>
      <c r="D2" s="2">
        <v>0.05</v>
      </c>
      <c r="E2" s="2">
        <v>0.02</v>
      </c>
      <c r="F2" t="s">
        <v>33</v>
      </c>
    </row>
    <row r="3" spans="1:6" ht="15">
      <c r="A3" s="7" t="s">
        <v>9</v>
      </c>
      <c r="B3" s="2">
        <f>+Balance!B3</f>
        <v>0.2</v>
      </c>
      <c r="C3" s="2">
        <v>0.15</v>
      </c>
      <c r="D3" s="2">
        <v>0.05</v>
      </c>
      <c r="E3" s="2">
        <v>0.05</v>
      </c>
      <c r="F3" t="s">
        <v>34</v>
      </c>
    </row>
    <row r="4" spans="1:6" ht="15">
      <c r="A4" s="7" t="s">
        <v>11</v>
      </c>
      <c r="B4" s="2">
        <f>+Balance!B4</f>
        <v>0.2</v>
      </c>
      <c r="C4" s="2">
        <v>0.15</v>
      </c>
      <c r="D4" s="2">
        <v>0</v>
      </c>
      <c r="E4" s="2">
        <v>7.0000000000000007E-2</v>
      </c>
      <c r="F4" t="s">
        <v>35</v>
      </c>
    </row>
    <row r="5" spans="1:6" ht="15">
      <c r="A5" s="7" t="s">
        <v>36</v>
      </c>
      <c r="B5" s="2">
        <f>+Balance!B5</f>
        <v>0.2</v>
      </c>
      <c r="C5" s="2">
        <v>0.25</v>
      </c>
      <c r="D5" s="2">
        <v>0</v>
      </c>
      <c r="E5" s="2">
        <v>0.08</v>
      </c>
      <c r="F5" t="s">
        <v>37</v>
      </c>
    </row>
    <row r="6" spans="1:6" ht="15">
      <c r="A6" s="7" t="s">
        <v>15</v>
      </c>
      <c r="B6" s="2">
        <f>+Balance!B6</f>
        <v>0.3</v>
      </c>
      <c r="C6" s="2">
        <v>0.37</v>
      </c>
      <c r="D6" s="2">
        <v>0.9</v>
      </c>
      <c r="E6" s="2">
        <v>0.1</v>
      </c>
      <c r="F6" t="s">
        <v>38</v>
      </c>
    </row>
    <row r="7" spans="1:6">
      <c r="B7" s="2"/>
      <c r="C7" s="2"/>
      <c r="D7" s="2"/>
      <c r="E7" s="2"/>
    </row>
    <row r="8" spans="1:6" ht="15">
      <c r="A8" s="1" t="s">
        <v>19</v>
      </c>
      <c r="B8" s="6" t="s">
        <v>29</v>
      </c>
      <c r="C8" s="1" t="s">
        <v>30</v>
      </c>
      <c r="D8" s="1" t="s">
        <v>31</v>
      </c>
      <c r="E8" s="2"/>
    </row>
    <row r="9" spans="1:6" ht="15">
      <c r="A9" s="7" t="s">
        <v>39</v>
      </c>
      <c r="B9" s="2">
        <f>SUM(B2:B6)</f>
        <v>1</v>
      </c>
      <c r="C9" s="2">
        <f>SUM(C2:C6)</f>
        <v>1</v>
      </c>
      <c r="D9" s="2">
        <f>SUM(D2:D6)</f>
        <v>1</v>
      </c>
      <c r="E9" s="2"/>
    </row>
    <row r="10" spans="1:6" ht="15">
      <c r="A10" s="7" t="s">
        <v>40</v>
      </c>
      <c r="B10" s="2">
        <f>SUMPRODUCT(B2:B6,$E$2:$E$6)</f>
        <v>7.2000000000000008E-2</v>
      </c>
      <c r="C10" s="2">
        <f>SUMPRODUCT(C2:C6,$E$2:$E$6)</f>
        <v>7.6600000000000001E-2</v>
      </c>
      <c r="D10" s="2">
        <f>SUMPRODUCT(D2:D6,$E$2:$E$6)</f>
        <v>9.3500000000000014E-2</v>
      </c>
      <c r="E10" s="2"/>
    </row>
    <row r="11" spans="1:6" ht="15">
      <c r="A11" s="7" t="s">
        <v>41</v>
      </c>
      <c r="B11" s="2">
        <f>Balance!G8</f>
        <v>4.3500000000000004E-2</v>
      </c>
      <c r="C11" s="2">
        <f>Balance!G8</f>
        <v>4.3500000000000004E-2</v>
      </c>
      <c r="D11" s="2">
        <f>Balance!G8</f>
        <v>4.3500000000000004E-2</v>
      </c>
      <c r="E11" s="2"/>
    </row>
    <row r="12" spans="1:6" ht="15">
      <c r="A12" s="7" t="s">
        <v>42</v>
      </c>
      <c r="B12" s="2">
        <f>B10-B11</f>
        <v>2.8500000000000004E-2</v>
      </c>
      <c r="C12" s="2">
        <f>C10-C11</f>
        <v>3.3099999999999997E-2</v>
      </c>
      <c r="D12" s="2">
        <f>D10-D11</f>
        <v>5.000000000000001E-2</v>
      </c>
      <c r="E12" s="2"/>
    </row>
    <row r="13" spans="1:6" ht="15">
      <c r="A13" s="7" t="s">
        <v>43</v>
      </c>
      <c r="B13" s="2">
        <f>B2+B3</f>
        <v>0.30000000000000004</v>
      </c>
      <c r="C13" s="2">
        <f>C2+C3</f>
        <v>0.22999999999999998</v>
      </c>
      <c r="D13" s="2">
        <f>D2+D3</f>
        <v>0.1</v>
      </c>
      <c r="E1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activeCell="B30" sqref="B30"/>
    </sheetView>
  </sheetViews>
  <sheetFormatPr defaultRowHeight="14.25"/>
  <cols>
    <col min="1" max="4" width="30" customWidth="1"/>
  </cols>
  <sheetData>
    <row r="1" spans="1:4" ht="15">
      <c r="A1" s="4" t="s">
        <v>44</v>
      </c>
      <c r="B1" s="4" t="s">
        <v>45</v>
      </c>
      <c r="C1" s="4" t="s">
        <v>46</v>
      </c>
      <c r="D1" s="4" t="s">
        <v>47</v>
      </c>
    </row>
    <row r="2" spans="1:4" ht="29.25">
      <c r="A2" s="9" t="s">
        <v>48</v>
      </c>
      <c r="B2" s="3" t="s">
        <v>49</v>
      </c>
      <c r="C2" s="3" t="s">
        <v>50</v>
      </c>
      <c r="D2" s="3" t="s">
        <v>51</v>
      </c>
    </row>
    <row r="3" spans="1:4" ht="15">
      <c r="A3" s="9" t="s">
        <v>52</v>
      </c>
      <c r="B3" s="3" t="s">
        <v>53</v>
      </c>
      <c r="C3" s="3" t="s">
        <v>54</v>
      </c>
      <c r="D3" s="3" t="s">
        <v>55</v>
      </c>
    </row>
    <row r="4" spans="1:4" ht="43.5">
      <c r="A4" s="9" t="s">
        <v>56</v>
      </c>
      <c r="B4" s="3" t="s">
        <v>53</v>
      </c>
      <c r="C4" s="3" t="s">
        <v>57</v>
      </c>
      <c r="D4" s="3" t="s">
        <v>58</v>
      </c>
    </row>
    <row r="5" spans="1:4" ht="29.25">
      <c r="A5" s="9" t="s">
        <v>59</v>
      </c>
      <c r="B5" s="3" t="s">
        <v>53</v>
      </c>
      <c r="C5" s="3" t="s">
        <v>60</v>
      </c>
      <c r="D5" s="3" t="s">
        <v>61</v>
      </c>
    </row>
    <row r="6" spans="1:4" ht="29.25">
      <c r="A6" s="9" t="s">
        <v>62</v>
      </c>
      <c r="B6" s="3" t="s">
        <v>53</v>
      </c>
      <c r="C6" s="3" t="s">
        <v>63</v>
      </c>
      <c r="D6" s="3" t="s">
        <v>64</v>
      </c>
    </row>
    <row r="7" spans="1:4" ht="29.25">
      <c r="A7" s="9" t="s">
        <v>65</v>
      </c>
      <c r="B7" s="3" t="s">
        <v>53</v>
      </c>
      <c r="C7" s="3" t="s">
        <v>66</v>
      </c>
      <c r="D7" s="3" t="s">
        <v>67</v>
      </c>
    </row>
    <row r="8" spans="1:4">
      <c r="A8" s="3"/>
      <c r="B8" s="3"/>
      <c r="C8" s="3"/>
      <c r="D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AE7A-E8B5-4551-842A-B805A876B8FB}">
  <dimension ref="B3:H9"/>
  <sheetViews>
    <sheetView tabSelected="1" workbookViewId="0">
      <selection activeCell="D13" sqref="D13"/>
    </sheetView>
  </sheetViews>
  <sheetFormatPr defaultRowHeight="14.25"/>
  <cols>
    <col min="3" max="3" width="15.5" customWidth="1"/>
    <col min="4" max="4" width="17.875" customWidth="1"/>
    <col min="5" max="5" width="19.875" customWidth="1"/>
    <col min="6" max="6" width="8" bestFit="1" customWidth="1"/>
    <col min="7" max="7" width="10.625" bestFit="1" customWidth="1"/>
  </cols>
  <sheetData>
    <row r="3" spans="2:8" ht="30">
      <c r="B3" s="10" t="s">
        <v>19</v>
      </c>
      <c r="C3" s="10" t="s">
        <v>68</v>
      </c>
      <c r="D3" s="10" t="s">
        <v>69</v>
      </c>
      <c r="E3" s="10" t="s">
        <v>70</v>
      </c>
      <c r="F3" s="11" t="s">
        <v>71</v>
      </c>
      <c r="G3" s="12" t="s">
        <v>72</v>
      </c>
      <c r="H3" s="13" t="s">
        <v>73</v>
      </c>
    </row>
    <row r="4" spans="2:8" ht="15">
      <c r="B4" s="14" t="s">
        <v>74</v>
      </c>
      <c r="C4" s="15">
        <v>0.13</v>
      </c>
      <c r="D4" s="15">
        <v>0.16</v>
      </c>
      <c r="E4" s="16">
        <v>0.17</v>
      </c>
      <c r="F4" s="17">
        <v>0.15</v>
      </c>
      <c r="G4" s="23">
        <f>(C4-$F4)/$F4</f>
        <v>-0.13333333333333328</v>
      </c>
      <c r="H4" s="23">
        <f>(D4-$F4)/$F4</f>
        <v>6.6666666666666735E-2</v>
      </c>
    </row>
    <row r="5" spans="2:8" ht="27">
      <c r="B5" s="18" t="s">
        <v>75</v>
      </c>
      <c r="C5" s="19">
        <v>8</v>
      </c>
      <c r="D5" s="19">
        <v>7</v>
      </c>
      <c r="E5" s="20">
        <v>8</v>
      </c>
      <c r="F5" s="17">
        <v>7.5</v>
      </c>
      <c r="G5" s="23">
        <f t="shared" ref="G5:G9" si="0">(C5-$F5)/$F5</f>
        <v>6.6666666666666666E-2</v>
      </c>
      <c r="H5" s="23">
        <f t="shared" ref="H5:H9" si="1">(D5-$F5)/$F5</f>
        <v>-6.6666666666666666E-2</v>
      </c>
    </row>
    <row r="6" spans="2:8" ht="40.5">
      <c r="B6" s="18" t="s">
        <v>76</v>
      </c>
      <c r="C6" s="21">
        <v>0.1</v>
      </c>
      <c r="D6" s="21">
        <v>0.08</v>
      </c>
      <c r="E6" s="22">
        <v>0.09</v>
      </c>
      <c r="F6" s="17">
        <v>6.5000000000000002E-2</v>
      </c>
      <c r="G6" s="23">
        <f t="shared" si="0"/>
        <v>0.53846153846153855</v>
      </c>
      <c r="H6" s="23">
        <f t="shared" si="1"/>
        <v>0.23076923076923075</v>
      </c>
    </row>
    <row r="7" spans="2:8" ht="40.5">
      <c r="B7" s="18" t="s">
        <v>77</v>
      </c>
      <c r="C7" s="21">
        <v>0.75</v>
      </c>
      <c r="D7" s="21">
        <v>0.7</v>
      </c>
      <c r="E7" s="22">
        <v>0.6</v>
      </c>
      <c r="F7" s="17">
        <v>0.8</v>
      </c>
      <c r="G7" s="23">
        <f t="shared" si="0"/>
        <v>-6.2500000000000056E-2</v>
      </c>
      <c r="H7" s="23">
        <f t="shared" si="1"/>
        <v>-0.12500000000000011</v>
      </c>
    </row>
    <row r="8" spans="2:8" ht="40.5">
      <c r="B8" s="18" t="s">
        <v>78</v>
      </c>
      <c r="C8" s="19">
        <v>7</v>
      </c>
      <c r="D8" s="19">
        <v>9</v>
      </c>
      <c r="E8" s="20">
        <v>7</v>
      </c>
      <c r="F8" s="17">
        <v>10</v>
      </c>
      <c r="G8" s="23">
        <f>(-(C8-$F8)/$F8)</f>
        <v>0.3</v>
      </c>
      <c r="H8" s="23">
        <f>(-(D8-$F8)/$F8)</f>
        <v>0.1</v>
      </c>
    </row>
    <row r="9" spans="2:8" ht="40.5">
      <c r="B9" s="18" t="s">
        <v>79</v>
      </c>
      <c r="C9" s="21">
        <v>0.4</v>
      </c>
      <c r="D9" s="21">
        <v>0.3</v>
      </c>
      <c r="E9" s="22">
        <v>0.2</v>
      </c>
      <c r="F9" s="17">
        <v>0.5</v>
      </c>
      <c r="G9" s="23">
        <f t="shared" si="0"/>
        <v>-0.19999999999999996</v>
      </c>
      <c r="H9" s="23">
        <f t="shared" si="1"/>
        <v>-0.4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</vt:lpstr>
      <vt:lpstr>Liquidez</vt:lpstr>
      <vt:lpstr>Escenarios</vt:lpstr>
      <vt:lpstr>Fuentes</vt:lpstr>
      <vt:lpstr>Reputacional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Rocha</dc:creator>
  <cp:keywords/>
  <dc:description/>
  <cp:lastModifiedBy>Óscar Eduardo Rocha Mora</cp:lastModifiedBy>
  <cp:revision/>
  <dcterms:created xsi:type="dcterms:W3CDTF">2026-07-16T16:45:16Z</dcterms:created>
  <dcterms:modified xsi:type="dcterms:W3CDTF">2026-07-19T22:09:44Z</dcterms:modified>
  <cp:category/>
  <cp:contentStatus/>
</cp:coreProperties>
</file>