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\Desktop\Backup\Asuntos personales\UCR\2026\2026_I Cuatrimestre\Riesgo de Crédito\Investigación\"/>
    </mc:Choice>
  </mc:AlternateContent>
  <xr:revisionPtr revIDLastSave="0" documentId="13_ncr:1_{4A63769C-7633-43E8-BACB-AAAA93E00671}" xr6:coauthVersionLast="47" xr6:coauthVersionMax="47" xr10:uidLastSave="{00000000-0000-0000-0000-000000000000}"/>
  <bookViews>
    <workbookView xWindow="-120" yWindow="-120" windowWidth="29040" windowHeight="15720" activeTab="4" xr2:uid="{42634447-AAB5-4E91-8992-7F013920A39C}"/>
  </bookViews>
  <sheets>
    <sheet name="IS" sheetId="6" r:id="rId1"/>
    <sheet name="BS" sheetId="5" r:id="rId2"/>
    <sheet name="CF" sheetId="34" r:id="rId3"/>
    <sheet name="Análisis Financiero" sheetId="7" r:id="rId4"/>
    <sheet name="EL" sheetId="35" r:id="rId5"/>
    <sheet name="Supuestos DCF - Múltiplo" sheetId="15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35" l="1"/>
  <c r="I15" i="35" s="1"/>
  <c r="F13" i="35"/>
  <c r="F15" i="35" s="1"/>
  <c r="C13" i="35"/>
  <c r="C15" i="35" s="1"/>
  <c r="E56" i="7"/>
  <c r="F56" i="7"/>
  <c r="K15" i="7" s="1"/>
  <c r="E6" i="7"/>
  <c r="K21" i="7" s="1"/>
  <c r="D6" i="7"/>
  <c r="D24" i="7" s="1"/>
  <c r="E12" i="7"/>
  <c r="D42" i="34"/>
  <c r="C42" i="34"/>
  <c r="D39" i="34"/>
  <c r="C39" i="34"/>
  <c r="D32" i="34"/>
  <c r="C32" i="34"/>
  <c r="D23" i="34"/>
  <c r="F55" i="7" s="1"/>
  <c r="F57" i="7" s="1"/>
  <c r="C23" i="34"/>
  <c r="E55" i="7" s="1"/>
  <c r="E57" i="7" s="1"/>
  <c r="C12" i="6"/>
  <c r="D12" i="6"/>
  <c r="I37" i="5"/>
  <c r="H37" i="5"/>
  <c r="I30" i="5"/>
  <c r="H30" i="5"/>
  <c r="K16" i="7" l="1"/>
  <c r="K12" i="7"/>
  <c r="F12" i="15"/>
  <c r="F23" i="15"/>
  <c r="E23" i="15"/>
  <c r="D23" i="15"/>
  <c r="E21" i="15"/>
  <c r="D21" i="15"/>
  <c r="C21" i="15"/>
  <c r="E20" i="15"/>
  <c r="D20" i="15"/>
  <c r="C20" i="15"/>
  <c r="E19" i="15"/>
  <c r="D19" i="15"/>
  <c r="C19" i="15"/>
  <c r="E16" i="15"/>
  <c r="D16" i="15"/>
  <c r="C16" i="15"/>
  <c r="E14" i="15"/>
  <c r="D14" i="15"/>
  <c r="C14" i="15"/>
  <c r="E11" i="15"/>
  <c r="D11" i="15"/>
  <c r="C11" i="15"/>
  <c r="E10" i="15"/>
  <c r="D10" i="15"/>
  <c r="C10" i="15"/>
  <c r="E8" i="15"/>
  <c r="D8" i="15"/>
  <c r="C8" i="15"/>
  <c r="E7" i="15"/>
  <c r="D7" i="15"/>
  <c r="C7" i="15"/>
  <c r="E6" i="15"/>
  <c r="E13" i="15" s="1"/>
  <c r="D6" i="15"/>
  <c r="C6" i="15"/>
  <c r="C30" i="15"/>
  <c r="C39" i="15" s="1"/>
  <c r="C48" i="15" s="1"/>
  <c r="D30" i="15"/>
  <c r="D39" i="15" s="1"/>
  <c r="D48" i="15" s="1"/>
  <c r="E28" i="7"/>
  <c r="D28" i="7"/>
  <c r="E27" i="7"/>
  <c r="D27" i="7"/>
  <c r="E26" i="7"/>
  <c r="D26" i="7"/>
  <c r="D36" i="15" l="1"/>
  <c r="D45" i="15" s="1"/>
  <c r="D54" i="15" s="1"/>
  <c r="D34" i="15"/>
  <c r="D43" i="15" s="1"/>
  <c r="D52" i="15" s="1"/>
  <c r="C34" i="15"/>
  <c r="C43" i="15" s="1"/>
  <c r="C52" i="15" s="1"/>
  <c r="C36" i="15"/>
  <c r="C45" i="15" s="1"/>
  <c r="C54" i="15" s="1"/>
  <c r="F8" i="15"/>
  <c r="F6" i="15"/>
  <c r="F20" i="15"/>
  <c r="F7" i="15"/>
  <c r="F21" i="15"/>
  <c r="F14" i="15"/>
  <c r="D17" i="15"/>
  <c r="C13" i="15"/>
  <c r="D13" i="15"/>
  <c r="F19" i="15"/>
  <c r="F10" i="15"/>
  <c r="F11" i="15"/>
  <c r="C15" i="15"/>
  <c r="C17" i="15"/>
  <c r="E17" i="15"/>
  <c r="D15" i="15"/>
  <c r="E15" i="15"/>
  <c r="F16" i="15"/>
  <c r="E30" i="15"/>
  <c r="E39" i="15" s="1"/>
  <c r="E48" i="15" s="1"/>
  <c r="E36" i="15" l="1"/>
  <c r="E45" i="15" s="1"/>
  <c r="E54" i="15" s="1"/>
  <c r="E34" i="15"/>
  <c r="E43" i="15" s="1"/>
  <c r="E52" i="15" s="1"/>
  <c r="F17" i="15"/>
  <c r="F13" i="15"/>
  <c r="F15" i="15"/>
  <c r="D45" i="7" l="1"/>
  <c r="E45" i="7" l="1"/>
  <c r="G45" i="7" l="1"/>
  <c r="K4" i="7"/>
  <c r="F50" i="7"/>
  <c r="F51" i="7"/>
  <c r="E51" i="7"/>
  <c r="E50" i="7"/>
  <c r="E41" i="7"/>
  <c r="D41" i="7"/>
  <c r="E34" i="7"/>
  <c r="D34" i="7"/>
  <c r="E23" i="7"/>
  <c r="D23" i="7"/>
  <c r="D27" i="6"/>
  <c r="E10" i="7"/>
  <c r="D10" i="7"/>
  <c r="I44" i="5"/>
  <c r="H44" i="5"/>
  <c r="D46" i="7" s="1"/>
  <c r="I18" i="5"/>
  <c r="H18" i="5"/>
  <c r="H45" i="5" l="1"/>
  <c r="I45" i="5"/>
  <c r="E46" i="7"/>
  <c r="C33" i="15"/>
  <c r="C42" i="15" s="1"/>
  <c r="C51" i="15" s="1"/>
  <c r="C35" i="15"/>
  <c r="G41" i="7"/>
  <c r="D33" i="15"/>
  <c r="D33" i="7"/>
  <c r="F45" i="7"/>
  <c r="F41" i="7"/>
  <c r="E7" i="7"/>
  <c r="E24" i="7"/>
  <c r="H38" i="5"/>
  <c r="I38" i="5"/>
  <c r="D47" i="7"/>
  <c r="D40" i="7"/>
  <c r="E40" i="7" l="1"/>
  <c r="F40" i="7" s="1"/>
  <c r="E47" i="7"/>
  <c r="E33" i="7"/>
  <c r="F46" i="7"/>
  <c r="G46" i="7"/>
  <c r="H45" i="7"/>
  <c r="D35" i="15"/>
  <c r="C44" i="15"/>
  <c r="C53" i="15"/>
  <c r="H46" i="7"/>
  <c r="D42" i="7"/>
  <c r="D42" i="15"/>
  <c r="D51" i="15" s="1"/>
  <c r="E33" i="15"/>
  <c r="E42" i="15" s="1"/>
  <c r="E51" i="15" s="1"/>
  <c r="D34" i="6"/>
  <c r="C34" i="6"/>
  <c r="C27" i="6"/>
  <c r="I11" i="5"/>
  <c r="E5" i="7" s="1"/>
  <c r="H11" i="5"/>
  <c r="D5" i="7" s="1"/>
  <c r="K17" i="7" l="1"/>
  <c r="E42" i="7"/>
  <c r="G40" i="7"/>
  <c r="I45" i="7"/>
  <c r="I46" i="7"/>
  <c r="F47" i="7"/>
  <c r="G47" i="7"/>
  <c r="H47" i="7"/>
  <c r="C23" i="15"/>
  <c r="D44" i="15"/>
  <c r="D53" i="15"/>
  <c r="D25" i="7"/>
  <c r="E35" i="15"/>
  <c r="H41" i="7"/>
  <c r="H40" i="7"/>
  <c r="G42" i="7"/>
  <c r="I41" i="7"/>
  <c r="I40" i="7"/>
  <c r="E25" i="7"/>
  <c r="F42" i="7"/>
  <c r="K5" i="7"/>
  <c r="H19" i="5"/>
  <c r="I19" i="5"/>
  <c r="I47" i="7" l="1"/>
  <c r="M7" i="5"/>
  <c r="I42" i="7"/>
  <c r="E44" i="15"/>
  <c r="E53" i="15"/>
  <c r="H42" i="7"/>
  <c r="K11" i="7"/>
  <c r="K10" i="7"/>
  <c r="C29" i="6"/>
  <c r="C28" i="6" s="1"/>
  <c r="D29" i="6"/>
  <c r="D28" i="6" s="1"/>
  <c r="K9" i="7"/>
  <c r="N7" i="5"/>
  <c r="D29" i="7" l="1"/>
  <c r="C32" i="15" s="1"/>
  <c r="D30" i="7"/>
  <c r="D35" i="7"/>
  <c r="D36" i="7" s="1"/>
  <c r="D11" i="7"/>
  <c r="E29" i="7"/>
  <c r="D32" i="15" s="1"/>
  <c r="E30" i="7"/>
  <c r="E35" i="7"/>
  <c r="E11" i="7"/>
  <c r="K6" i="7"/>
  <c r="D35" i="6"/>
  <c r="C35" i="6"/>
  <c r="D37" i="6" l="1"/>
  <c r="C18" i="7"/>
  <c r="C37" i="6"/>
  <c r="E36" i="7"/>
  <c r="C50" i="15"/>
  <c r="E32" i="15"/>
  <c r="E41" i="15" s="1"/>
  <c r="E50" i="15" s="1"/>
  <c r="C41" i="15"/>
  <c r="D41" i="15"/>
  <c r="D50" i="15"/>
  <c r="C31" i="15"/>
  <c r="C49" i="15"/>
  <c r="D31" i="15"/>
  <c r="D40" i="15"/>
  <c r="D49" i="15"/>
  <c r="K7" i="7"/>
  <c r="D12" i="7" l="1"/>
  <c r="C15" i="7"/>
  <c r="E13" i="7"/>
  <c r="E14" i="7"/>
  <c r="D14" i="7"/>
  <c r="D19" i="7"/>
  <c r="E19" i="7"/>
  <c r="E20" i="7" s="1"/>
  <c r="C40" i="15"/>
  <c r="E31" i="15"/>
  <c r="E40" i="15" s="1"/>
  <c r="E49" i="15" s="1"/>
  <c r="D15" i="7" l="1"/>
  <c r="D16" i="7"/>
  <c r="E16" i="7"/>
  <c r="E17" i="7" s="1"/>
  <c r="K8" i="7"/>
</calcChain>
</file>

<file path=xl/sharedStrings.xml><?xml version="1.0" encoding="utf-8"?>
<sst xmlns="http://schemas.openxmlformats.org/spreadsheetml/2006/main" count="296" uniqueCount="216">
  <si>
    <t>Gross Profit</t>
  </si>
  <si>
    <t>Total assets</t>
  </si>
  <si>
    <t>Assets</t>
  </si>
  <si>
    <t>Cash and cash equivalents</t>
  </si>
  <si>
    <t>Accounts receivable</t>
  </si>
  <si>
    <t>Prepaid expenses</t>
  </si>
  <si>
    <t>Total current assets</t>
  </si>
  <si>
    <t>Total non-current assets</t>
  </si>
  <si>
    <t>Liabilities and Partners' Equity</t>
  </si>
  <si>
    <t>Accounts payable</t>
  </si>
  <si>
    <t>Total current liabilities</t>
  </si>
  <si>
    <t>Total liabilities and partners' equity</t>
  </si>
  <si>
    <t>Total non-current liabilities</t>
  </si>
  <si>
    <t>COGS</t>
  </si>
  <si>
    <t>Operating income (EBIT)</t>
  </si>
  <si>
    <t>Ratios</t>
  </si>
  <si>
    <t>Liquidity</t>
  </si>
  <si>
    <t>Current Ratio</t>
  </si>
  <si>
    <t>Profitability</t>
  </si>
  <si>
    <t>Gross Margin</t>
  </si>
  <si>
    <t>Operating Margin</t>
  </si>
  <si>
    <t>Net Margin</t>
  </si>
  <si>
    <t>ROE</t>
  </si>
  <si>
    <t>Working Capital Management</t>
  </si>
  <si>
    <t>DSO</t>
  </si>
  <si>
    <t>DPO</t>
  </si>
  <si>
    <t xml:space="preserve">Summarized Balance </t>
  </si>
  <si>
    <t>P, P &amp; E</t>
  </si>
  <si>
    <t>OWK</t>
  </si>
  <si>
    <t>Fixed Assests</t>
  </si>
  <si>
    <t>Invested Capital</t>
  </si>
  <si>
    <t>Deb/Equity</t>
  </si>
  <si>
    <t>Capital Structure</t>
  </si>
  <si>
    <t>Operational Efficiency</t>
  </si>
  <si>
    <t>Leverage</t>
  </si>
  <si>
    <t>Growth Metrics (g)</t>
  </si>
  <si>
    <t>Total operating expenses</t>
  </si>
  <si>
    <t>Tau</t>
  </si>
  <si>
    <t>SGA</t>
  </si>
  <si>
    <t>Empresa</t>
  </si>
  <si>
    <t>Ticker</t>
  </si>
  <si>
    <t>Comentario</t>
  </si>
  <si>
    <t>Sterling Infrastructure, Inc.</t>
  </si>
  <si>
    <t>STRL</t>
  </si>
  <si>
    <t>Construction Partners, Inc.</t>
  </si>
  <si>
    <t>ROAD</t>
  </si>
  <si>
    <t>GVA</t>
  </si>
  <si>
    <t>Granite Construction Incorporated</t>
  </si>
  <si>
    <t>Operating lease right-of-use assets</t>
  </si>
  <si>
    <t>Goodwill</t>
  </si>
  <si>
    <t>Total liabilities</t>
  </si>
  <si>
    <t>Retained earnings</t>
  </si>
  <si>
    <t>Total members’ equity</t>
  </si>
  <si>
    <t>Revenues</t>
  </si>
  <si>
    <t>Interest expense, net</t>
  </si>
  <si>
    <t>EBT</t>
  </si>
  <si>
    <t>Income tax expense</t>
  </si>
  <si>
    <t>Years Ended December 31, 2024 and December 31, 2023</t>
  </si>
  <si>
    <t>CONSOLIDATED STATEMENTS OF OPERATIONS</t>
  </si>
  <si>
    <t>As of December 31, 2024 and December 31, 2023</t>
  </si>
  <si>
    <t>CONSOLIDATED BALANCE SHEETS</t>
  </si>
  <si>
    <t>Cambio en OWK</t>
  </si>
  <si>
    <t>SGA/Revenues</t>
  </si>
  <si>
    <t>OWK/Revenues</t>
  </si>
  <si>
    <t>IC/Revenues</t>
  </si>
  <si>
    <t>Equity (BVE)</t>
  </si>
  <si>
    <t>Interest Debt (BVD) - Deuda con costo</t>
  </si>
  <si>
    <t>ROA</t>
  </si>
  <si>
    <t>BVD/BVE - D/E</t>
  </si>
  <si>
    <t>Cambios</t>
  </si>
  <si>
    <t>Tau normalizado</t>
  </si>
  <si>
    <t>g</t>
  </si>
  <si>
    <t>g (crecimiento)</t>
  </si>
  <si>
    <t>Utilidad neta</t>
  </si>
  <si>
    <t>Margen Bruto</t>
  </si>
  <si>
    <t>Margen Operativo</t>
  </si>
  <si>
    <t>Margen Neto</t>
  </si>
  <si>
    <t>Tamaño y crecimiento</t>
  </si>
  <si>
    <t>Rentabilidad</t>
  </si>
  <si>
    <t>Datos usados del 2024</t>
  </si>
  <si>
    <t>Net debt</t>
  </si>
  <si>
    <t>Net debt / EBITDA</t>
  </si>
  <si>
    <t>EBITDA</t>
  </si>
  <si>
    <t>Liquidez</t>
  </si>
  <si>
    <t>Promedio</t>
  </si>
  <si>
    <t>ROIC (Tau 25%)</t>
  </si>
  <si>
    <t>ROIC (Tau 4.56%)</t>
  </si>
  <si>
    <t>Tau 2024</t>
  </si>
  <si>
    <t>D/Revenues</t>
  </si>
  <si>
    <t>PPE/Revenues</t>
  </si>
  <si>
    <t>COGS/Revenues</t>
  </si>
  <si>
    <t>Depreciation/Revenues</t>
  </si>
  <si>
    <t>Eficiencia operativa</t>
  </si>
  <si>
    <t>IC</t>
  </si>
  <si>
    <t>Se asume constante</t>
  </si>
  <si>
    <t xml:space="preserve">NOPAT = EBIT * (1-Tau(25%)) </t>
  </si>
  <si>
    <t>Cardinal</t>
  </si>
  <si>
    <t>EBIT/Revenues</t>
  </si>
  <si>
    <t>Crece de igual forma que el base, pero aumenta mayormente. En el S-1, se establecen crecimientos del 11% en acueductos, lo que se espera al final de los 5 años.</t>
  </si>
  <si>
    <t>Crece de igual forma que el base, pero disminuye a un 3% en el último año, determinando el peor caso posible.</t>
  </si>
  <si>
    <t>Se asume que baja un 2% en referencia a al promedio de la industria.</t>
  </si>
  <si>
    <t>Se asume que baja un 1% en referencia a al promedio de la industria.</t>
  </si>
  <si>
    <t>Se asume que baja un 4% en referencia a al promedio de la industria.</t>
  </si>
  <si>
    <t>Se asume constante al promedio.</t>
  </si>
  <si>
    <t>Se asume que aumenta al 10%, por el tema de expansión y adquicisiones.</t>
  </si>
  <si>
    <t>Se asume que aumenta al 7%, por el tema de expansión y adquisiciones, estableciendo una buena gestión de sus WK.</t>
  </si>
  <si>
    <t>Se asume una disminución al 15%, basado en el efecto de sinergías operativas, en caso de éxito con su modelo de adquisiciones y expansión.</t>
  </si>
  <si>
    <t>Se asume un incremento al 18%, dado a si falla su modelo de expansión, requiriendo mayor inversión en activos para sostener crecimiento.</t>
  </si>
  <si>
    <t>Pesos</t>
  </si>
  <si>
    <t>Caso Pesimista</t>
  </si>
  <si>
    <t>Caso Base</t>
  </si>
  <si>
    <t>Caso Optimista</t>
  </si>
  <si>
    <t>EBITDA/Revenues</t>
  </si>
  <si>
    <t>Se determina a un 27.13% y baja en relación a su aumento, en un 5% cada año, cercano al 6.3% de incremento de población que espera Cardinal y a su vez, similar al 5.3% del CAGR de la industria pronosticado hasta el 2035.</t>
  </si>
  <si>
    <t>December 31, in millions</t>
  </si>
  <si>
    <t>Fuel, expendable parts and supplies inventories, net of an allowance for obsolescence of $124 and $120</t>
  </si>
  <si>
    <t>Property and equipment, net of accumulated depreciation and amortization of $24,719 and $23,228</t>
  </si>
  <si>
    <t>Identifiable intangibles, net of accumulated amortization of $928 and $919</t>
  </si>
  <si>
    <t>Equity investments</t>
  </si>
  <si>
    <t>Other noncurrent assets</t>
  </si>
  <si>
    <t>Current maturities of debt and finance leases</t>
  </si>
  <si>
    <t>Current maturities of operating leases</t>
  </si>
  <si>
    <t>Air traffic liability</t>
  </si>
  <si>
    <t>Accrued salaries and related benefits</t>
  </si>
  <si>
    <t>Loyalty program deferred revenue</t>
  </si>
  <si>
    <t>Fuel card obligation</t>
  </si>
  <si>
    <t>Other accrued liabilities</t>
  </si>
  <si>
    <t>Debt and finance leases</t>
  </si>
  <si>
    <t>Noncurrent operating leases</t>
  </si>
  <si>
    <t>Pension, postretirement and related benefits</t>
  </si>
  <si>
    <t>Deferred income taxes, net</t>
  </si>
  <si>
    <t>Other noncurrent liabilities</t>
  </si>
  <si>
    <t>Common stock at $0.0001 par value; 1,500,000,000 shares authorized, 659,669,346 and 654,571,606 shares issued</t>
  </si>
  <si>
    <t>Additional paid-in capital</t>
  </si>
  <si>
    <t>Accumulated other comprehensive loss</t>
  </si>
  <si>
    <t>Treasury stock, at cost, 6,498,109 and 8,098,971 shares</t>
  </si>
  <si>
    <t>Passenger</t>
  </si>
  <si>
    <t>Cargo</t>
  </si>
  <si>
    <t>For the Years Ended December 31, in millions</t>
  </si>
  <si>
    <t>Other</t>
  </si>
  <si>
    <t>Salaries and related costs</t>
  </si>
  <si>
    <t>Aircraft fuel and related taxes</t>
  </si>
  <si>
    <t>Ancillary businesses and refinery</t>
  </si>
  <si>
    <t>Contracted services</t>
  </si>
  <si>
    <t>Landing fees and other rents</t>
  </si>
  <si>
    <t>Regional carrier expense</t>
  </si>
  <si>
    <t>Passenger commissions and</t>
  </si>
  <si>
    <t>Depreciation and amortization</t>
  </si>
  <si>
    <t>Aircraft maintenance materials</t>
  </si>
  <si>
    <t>Passenger service</t>
  </si>
  <si>
    <t>Profit sharing</t>
  </si>
  <si>
    <t>Aircraft rent</t>
  </si>
  <si>
    <t>Pilot agreement and related expenses</t>
  </si>
  <si>
    <t>Gain/(loss) on investments, net</t>
  </si>
  <si>
    <t>Loss on extinguishment of debt</t>
  </si>
  <si>
    <t>Miscellaneous, net</t>
  </si>
  <si>
    <t>Non-Operating Income/(Expense)</t>
  </si>
  <si>
    <t>Net income</t>
  </si>
  <si>
    <t>Basic Earnings Per Share</t>
  </si>
  <si>
    <t>Diluted Earnings Per Share</t>
  </si>
  <si>
    <t>DELTA AIR LINES, INC.</t>
  </si>
  <si>
    <t>Cash Flows From Operating Activities</t>
  </si>
  <si>
    <t>Deferred income taxes</t>
  </si>
  <si>
    <t>(Gain)/loss on fair value investments</t>
  </si>
  <si>
    <t>Pension, postretirement and postemployment payments greater than expense</t>
  </si>
  <si>
    <t>Receivables</t>
  </si>
  <si>
    <t>Prepaids and other current assets</t>
  </si>
  <si>
    <t>Other payables, deferred revenue and accrued liabilities</t>
  </si>
  <si>
    <t>Other, net</t>
  </si>
  <si>
    <t>Net cash provided by operating activities</t>
  </si>
  <si>
    <t>Adjustments to reconcile net income to net cash provided by operating activities</t>
  </si>
  <si>
    <t>Changes in certain assets and liabilities</t>
  </si>
  <si>
    <t>Cash Flows From Investing Activities</t>
  </si>
  <si>
    <t>Property and equipment additions:</t>
  </si>
  <si>
    <t>Flight equipment, including advance payments</t>
  </si>
  <si>
    <t>Ground property and equipment, including technology</t>
  </si>
  <si>
    <t>Purchase of equity investments</t>
  </si>
  <si>
    <t>Purchase of short-term investments</t>
  </si>
  <si>
    <t>Redemption of short-term investments</t>
  </si>
  <si>
    <t>Net cash used in investing activities</t>
  </si>
  <si>
    <t>Cash Flows From Financing Activities</t>
  </si>
  <si>
    <t>Proceeds from long-term obligations</t>
  </si>
  <si>
    <t>Payments on debt and finance lease obligations</t>
  </si>
  <si>
    <t>Cash dividends</t>
  </si>
  <si>
    <t>Net cash used in financing activities</t>
  </si>
  <si>
    <t>Net Increase/(Decrease) in Cash, Cash Equivalents and Restricted Cash</t>
  </si>
  <si>
    <t>Cash, cash equivalents and restricted cash at beginning of</t>
  </si>
  <si>
    <t>Cash, cash equivalents and restricted cash at end of period</t>
  </si>
  <si>
    <t>Supplemental Disclosure of Cash Paid for Interest</t>
  </si>
  <si>
    <t>Right-of-use assets acquired or modified under operating leases</t>
  </si>
  <si>
    <t>Flight and ground equipment acquired or modified under finance leases</t>
  </si>
  <si>
    <t>Operating leases converted to finance leases</t>
  </si>
  <si>
    <t>Debt agreements modified</t>
  </si>
  <si>
    <t>Non-Cash Transactions</t>
  </si>
  <si>
    <t>OWK Credit formula = Activos Operativos CP - Pasivos Operativos CP</t>
  </si>
  <si>
    <t>Free Cash Flow</t>
  </si>
  <si>
    <t>Capex</t>
  </si>
  <si>
    <t>Operating Cash Flow</t>
  </si>
  <si>
    <t>FCF</t>
  </si>
  <si>
    <t>OCF</t>
  </si>
  <si>
    <t>Moody's</t>
  </si>
  <si>
    <t>Baa2</t>
  </si>
  <si>
    <t>S&amp;P</t>
  </si>
  <si>
    <t>BBB-</t>
  </si>
  <si>
    <t>Datos asumidos</t>
  </si>
  <si>
    <t>LDG</t>
  </si>
  <si>
    <t>EAD</t>
  </si>
  <si>
    <t>PD</t>
  </si>
  <si>
    <t>Recordar, datos en millones de USD</t>
  </si>
  <si>
    <t>EL</t>
  </si>
  <si>
    <t>Years Ended December 31, 2024 and December 31, 2025</t>
  </si>
  <si>
    <t>Peso de la EAD sobre la EL</t>
  </si>
  <si>
    <t>Escenarios basados en el nivel de pasivos totales de Delta</t>
  </si>
  <si>
    <t>Conservador (incluyendo otros leases y demás)</t>
  </si>
  <si>
    <t>Optimista (asumiento que nota la exposición estaría disponible al incumplimiento)</t>
  </si>
  <si>
    <t>Pesimista (Deuda financiera principal y se aumenta el default a 2%, suponiendo peor escenario)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</si>
</sst>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_([$$-409]* #,##0.00_);_([$$-409]* \(#,##0.00\);_([$$-409]* &quot;-&quot;??_);_(@_)"/>
    <numFmt numFmtId="166" formatCode="_(* #,##0.0000_);_(* \(#,##0.0000\);_(* &quot;-&quot;??_);_(@_)"/>
    <numFmt numFmtId="167" formatCode="0.0000"/>
    <numFmt numFmtId="168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0" fillId="2" borderId="0" xfId="0" applyFill="1"/>
    <xf numFmtId="0" fontId="0" fillId="2" borderId="1" xfId="0" applyFill="1" applyBorder="1"/>
    <xf numFmtId="2" fontId="0" fillId="2" borderId="0" xfId="0" applyNumberFormat="1" applyFill="1"/>
    <xf numFmtId="0" fontId="2" fillId="2" borderId="0" xfId="0" applyFont="1" applyFill="1"/>
    <xf numFmtId="0" fontId="3" fillId="2" borderId="0" xfId="0" applyFont="1" applyFill="1"/>
    <xf numFmtId="0" fontId="2" fillId="2" borderId="1" xfId="0" applyFont="1" applyFill="1" applyBorder="1"/>
    <xf numFmtId="0" fontId="3" fillId="2" borderId="1" xfId="0" applyFont="1" applyFill="1" applyBorder="1"/>
    <xf numFmtId="0" fontId="3" fillId="2" borderId="2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4" fillId="2" borderId="0" xfId="0" applyFont="1" applyFill="1"/>
    <xf numFmtId="0" fontId="0" fillId="2" borderId="3" xfId="0" applyFill="1" applyBorder="1"/>
    <xf numFmtId="0" fontId="2" fillId="2" borderId="4" xfId="0" applyFont="1" applyFill="1" applyBorder="1"/>
    <xf numFmtId="44" fontId="0" fillId="2" borderId="0" xfId="2" applyFont="1" applyFill="1"/>
    <xf numFmtId="44" fontId="0" fillId="2" borderId="3" xfId="2" applyFont="1" applyFill="1" applyBorder="1"/>
    <xf numFmtId="44" fontId="0" fillId="2" borderId="1" xfId="2" applyFont="1" applyFill="1" applyBorder="1"/>
    <xf numFmtId="44" fontId="0" fillId="2" borderId="0" xfId="2" applyFont="1" applyFill="1" applyBorder="1"/>
    <xf numFmtId="0" fontId="2" fillId="2" borderId="5" xfId="0" applyFont="1" applyFill="1" applyBorder="1"/>
    <xf numFmtId="44" fontId="2" fillId="2" borderId="2" xfId="2" applyFont="1" applyFill="1" applyBorder="1"/>
    <xf numFmtId="44" fontId="2" fillId="2" borderId="0" xfId="2" applyFont="1" applyFill="1"/>
    <xf numFmtId="44" fontId="0" fillId="2" borderId="0" xfId="0" applyNumberFormat="1" applyFill="1"/>
    <xf numFmtId="10" fontId="0" fillId="2" borderId="0" xfId="3" applyNumberFormat="1" applyFont="1" applyFill="1"/>
    <xf numFmtId="164" fontId="0" fillId="2" borderId="0" xfId="0" applyNumberFormat="1" applyFill="1"/>
    <xf numFmtId="165" fontId="0" fillId="2" borderId="1" xfId="0" applyNumberFormat="1" applyFill="1" applyBorder="1"/>
    <xf numFmtId="44" fontId="2" fillId="2" borderId="0" xfId="0" applyNumberFormat="1" applyFont="1" applyFill="1"/>
    <xf numFmtId="10" fontId="0" fillId="2" borderId="0" xfId="0" applyNumberFormat="1" applyFill="1"/>
    <xf numFmtId="0" fontId="2" fillId="2" borderId="0" xfId="0" applyFont="1" applyFill="1" applyAlignment="1">
      <alignment horizontal="center"/>
    </xf>
    <xf numFmtId="44" fontId="1" fillId="2" borderId="0" xfId="2" applyFont="1" applyFill="1" applyBorder="1"/>
    <xf numFmtId="44" fontId="2" fillId="2" borderId="6" xfId="2" applyFont="1" applyFill="1" applyBorder="1"/>
    <xf numFmtId="44" fontId="2" fillId="2" borderId="2" xfId="0" applyNumberFormat="1" applyFont="1" applyFill="1" applyBorder="1"/>
    <xf numFmtId="165" fontId="0" fillId="2" borderId="0" xfId="0" applyNumberFormat="1" applyFill="1"/>
    <xf numFmtId="43" fontId="0" fillId="2" borderId="0" xfId="1" applyFont="1" applyFill="1" applyBorder="1"/>
    <xf numFmtId="0" fontId="4" fillId="2" borderId="1" xfId="0" applyFont="1" applyFill="1" applyBorder="1"/>
    <xf numFmtId="0" fontId="4" fillId="2" borderId="4" xfId="0" applyFont="1" applyFill="1" applyBorder="1"/>
    <xf numFmtId="44" fontId="0" fillId="2" borderId="0" xfId="3" applyNumberFormat="1" applyFont="1" applyFill="1"/>
    <xf numFmtId="0" fontId="0" fillId="3" borderId="0" xfId="0" applyFill="1"/>
    <xf numFmtId="44" fontId="1" fillId="2" borderId="0" xfId="2" applyFont="1" applyFill="1"/>
    <xf numFmtId="166" fontId="0" fillId="2" borderId="0" xfId="1" applyNumberFormat="1" applyFont="1" applyFill="1"/>
    <xf numFmtId="2" fontId="0" fillId="2" borderId="1" xfId="0" applyNumberFormat="1" applyFill="1" applyBorder="1"/>
    <xf numFmtId="44" fontId="0" fillId="2" borderId="3" xfId="0" applyNumberFormat="1" applyFill="1" applyBorder="1"/>
    <xf numFmtId="10" fontId="0" fillId="2" borderId="3" xfId="3" applyNumberFormat="1" applyFont="1" applyFill="1" applyBorder="1"/>
    <xf numFmtId="0" fontId="2" fillId="3" borderId="0" xfId="0" applyFont="1" applyFill="1"/>
    <xf numFmtId="0" fontId="0" fillId="2" borderId="5" xfId="0" applyFill="1" applyBorder="1"/>
    <xf numFmtId="44" fontId="0" fillId="2" borderId="5" xfId="0" applyNumberFormat="1" applyFill="1" applyBorder="1"/>
    <xf numFmtId="44" fontId="2" fillId="2" borderId="5" xfId="0" applyNumberFormat="1" applyFont="1" applyFill="1" applyBorder="1"/>
    <xf numFmtId="44" fontId="1" fillId="2" borderId="5" xfId="2" applyFont="1" applyFill="1" applyBorder="1"/>
    <xf numFmtId="167" fontId="0" fillId="2" borderId="0" xfId="3" applyNumberFormat="1" applyFont="1" applyFill="1"/>
    <xf numFmtId="164" fontId="0" fillId="2" borderId="2" xfId="0" applyNumberFormat="1" applyFill="1" applyBorder="1"/>
    <xf numFmtId="2" fontId="0" fillId="2" borderId="2" xfId="0" applyNumberFormat="1" applyFill="1" applyBorder="1"/>
    <xf numFmtId="44" fontId="0" fillId="2" borderId="2" xfId="0" applyNumberFormat="1" applyFill="1" applyBorder="1"/>
    <xf numFmtId="9" fontId="0" fillId="2" borderId="0" xfId="3" applyFont="1" applyFill="1"/>
    <xf numFmtId="0" fontId="5" fillId="2" borderId="0" xfId="0" applyFont="1" applyFill="1"/>
    <xf numFmtId="0" fontId="6" fillId="2" borderId="0" xfId="0" applyFont="1" applyFill="1"/>
    <xf numFmtId="9" fontId="5" fillId="2" borderId="0" xfId="0" applyNumberFormat="1" applyFont="1" applyFill="1"/>
    <xf numFmtId="0" fontId="6" fillId="2" borderId="1" xfId="0" applyFont="1" applyFill="1" applyBorder="1"/>
    <xf numFmtId="0" fontId="5" fillId="2" borderId="1" xfId="0" applyFont="1" applyFill="1" applyBorder="1"/>
    <xf numFmtId="43" fontId="5" fillId="2" borderId="1" xfId="1" applyFont="1" applyFill="1" applyBorder="1"/>
    <xf numFmtId="43" fontId="5" fillId="2" borderId="0" xfId="0" applyNumberFormat="1" applyFont="1" applyFill="1"/>
    <xf numFmtId="0" fontId="5" fillId="2" borderId="0" xfId="3" applyNumberFormat="1" applyFont="1" applyFill="1"/>
    <xf numFmtId="168" fontId="5" fillId="2" borderId="0" xfId="3" applyNumberFormat="1" applyFont="1" applyFill="1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2C7DCE"/>
      <color rgb="FFFF4343"/>
      <color rgb="FFFF6600"/>
      <color rgb="FFFF9966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200025</xdr:colOff>
      <xdr:row>8</xdr:row>
      <xdr:rowOff>125161</xdr:rowOff>
    </xdr:from>
    <xdr:to>
      <xdr:col>26</xdr:col>
      <xdr:colOff>278775</xdr:colOff>
      <xdr:row>31</xdr:row>
      <xdr:rowOff>39469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FF30BF-F86E-70FE-F5A9-FB215AA40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63800" y="1649161"/>
          <a:ext cx="8003550" cy="4295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CFC00-3319-4E17-844B-4713AE9456B3}">
  <dimension ref="B1:G39"/>
  <sheetViews>
    <sheetView workbookViewId="0"/>
  </sheetViews>
  <sheetFormatPr defaultRowHeight="15" x14ac:dyDescent="0.25"/>
  <cols>
    <col min="1" max="1" width="1.5703125" style="1" customWidth="1"/>
    <col min="2" max="2" width="54.42578125" style="1" customWidth="1"/>
    <col min="3" max="3" width="23.42578125" style="1" customWidth="1"/>
    <col min="4" max="4" width="19.140625" style="1" customWidth="1"/>
    <col min="5" max="5" width="15.28515625" style="1" bestFit="1" customWidth="1"/>
    <col min="6" max="16384" width="9.140625" style="1"/>
  </cols>
  <sheetData>
    <row r="1" spans="2:5" x14ac:dyDescent="0.25">
      <c r="B1" s="1" t="s">
        <v>160</v>
      </c>
    </row>
    <row r="2" spans="2:5" x14ac:dyDescent="0.25">
      <c r="B2" s="4" t="s">
        <v>58</v>
      </c>
    </row>
    <row r="3" spans="2:5" x14ac:dyDescent="0.25">
      <c r="B3" s="4" t="s">
        <v>210</v>
      </c>
    </row>
    <row r="4" spans="2:5" x14ac:dyDescent="0.25">
      <c r="B4" s="11"/>
    </row>
    <row r="6" spans="2:5" x14ac:dyDescent="0.25">
      <c r="C6" s="61" t="s">
        <v>138</v>
      </c>
      <c r="D6" s="61"/>
    </row>
    <row r="7" spans="2:5" x14ac:dyDescent="0.25">
      <c r="B7" s="10"/>
      <c r="C7" s="9">
        <v>2024</v>
      </c>
      <c r="D7" s="6">
        <v>2025</v>
      </c>
    </row>
    <row r="8" spans="2:5" x14ac:dyDescent="0.25">
      <c r="B8" s="10"/>
      <c r="C8" s="9"/>
      <c r="D8" s="9"/>
    </row>
    <row r="9" spans="2:5" x14ac:dyDescent="0.25">
      <c r="B9" s="1" t="s">
        <v>136</v>
      </c>
      <c r="C9" s="14">
        <v>50894</v>
      </c>
      <c r="D9" s="14">
        <v>51768</v>
      </c>
    </row>
    <row r="10" spans="2:5" x14ac:dyDescent="0.25">
      <c r="B10" s="1" t="s">
        <v>137</v>
      </c>
      <c r="C10" s="14">
        <v>822</v>
      </c>
      <c r="D10" s="14">
        <v>900</v>
      </c>
    </row>
    <row r="11" spans="2:5" x14ac:dyDescent="0.25">
      <c r="B11" s="2" t="s">
        <v>139</v>
      </c>
      <c r="C11" s="16">
        <v>9927</v>
      </c>
      <c r="D11" s="16">
        <v>10696</v>
      </c>
      <c r="E11" s="21"/>
    </row>
    <row r="12" spans="2:5" x14ac:dyDescent="0.25">
      <c r="B12" s="9" t="s">
        <v>0</v>
      </c>
      <c r="C12" s="19">
        <f>SUM(C9:C11)</f>
        <v>61643</v>
      </c>
      <c r="D12" s="19">
        <f>SUM(D9:D11)</f>
        <v>63364</v>
      </c>
    </row>
    <row r="13" spans="2:5" x14ac:dyDescent="0.25">
      <c r="B13" s="1" t="s">
        <v>140</v>
      </c>
      <c r="C13" s="14">
        <v>16161</v>
      </c>
      <c r="D13" s="14">
        <v>17520</v>
      </c>
    </row>
    <row r="14" spans="2:5" x14ac:dyDescent="0.25">
      <c r="B14" s="1" t="s">
        <v>141</v>
      </c>
      <c r="C14" s="14">
        <v>10566</v>
      </c>
      <c r="D14" s="14">
        <v>9819</v>
      </c>
    </row>
    <row r="15" spans="2:5" x14ac:dyDescent="0.25">
      <c r="B15" s="1" t="s">
        <v>142</v>
      </c>
      <c r="C15" s="14">
        <v>5416</v>
      </c>
      <c r="D15" s="14">
        <v>5987</v>
      </c>
    </row>
    <row r="16" spans="2:5" x14ac:dyDescent="0.25">
      <c r="B16" s="1" t="s">
        <v>143</v>
      </c>
      <c r="C16" s="14">
        <v>4228</v>
      </c>
      <c r="D16" s="14">
        <v>4617</v>
      </c>
    </row>
    <row r="17" spans="2:5" x14ac:dyDescent="0.25">
      <c r="B17" s="1" t="s">
        <v>144</v>
      </c>
      <c r="C17" s="14">
        <v>3150</v>
      </c>
      <c r="D17" s="14">
        <v>3564</v>
      </c>
    </row>
    <row r="18" spans="2:5" x14ac:dyDescent="0.25">
      <c r="B18" s="1" t="s">
        <v>145</v>
      </c>
      <c r="C18" s="14">
        <v>2328</v>
      </c>
      <c r="D18" s="14">
        <v>2553</v>
      </c>
    </row>
    <row r="19" spans="2:5" x14ac:dyDescent="0.25">
      <c r="B19" s="1" t="s">
        <v>146</v>
      </c>
      <c r="C19" s="14">
        <v>2485</v>
      </c>
      <c r="D19" s="14">
        <v>2485</v>
      </c>
    </row>
    <row r="20" spans="2:5" x14ac:dyDescent="0.25">
      <c r="B20" s="1" t="s">
        <v>147</v>
      </c>
      <c r="C20" s="14">
        <v>2513</v>
      </c>
      <c r="D20" s="14">
        <v>2443</v>
      </c>
    </row>
    <row r="21" spans="2:5" x14ac:dyDescent="0.25">
      <c r="B21" s="1" t="s">
        <v>148</v>
      </c>
      <c r="C21" s="14">
        <v>2616</v>
      </c>
      <c r="D21" s="14">
        <v>2432</v>
      </c>
    </row>
    <row r="22" spans="2:5" x14ac:dyDescent="0.25">
      <c r="B22" s="1" t="s">
        <v>149</v>
      </c>
      <c r="C22" s="14">
        <v>1788</v>
      </c>
      <c r="D22" s="14">
        <v>1855</v>
      </c>
    </row>
    <row r="23" spans="2:5" x14ac:dyDescent="0.25">
      <c r="B23" s="1" t="s">
        <v>150</v>
      </c>
      <c r="C23" s="14">
        <v>1389</v>
      </c>
      <c r="D23" s="14">
        <v>1337</v>
      </c>
    </row>
    <row r="24" spans="2:5" x14ac:dyDescent="0.25">
      <c r="B24" s="1" t="s">
        <v>151</v>
      </c>
      <c r="C24" s="14">
        <v>548</v>
      </c>
      <c r="D24" s="14">
        <v>542</v>
      </c>
    </row>
    <row r="25" spans="2:5" x14ac:dyDescent="0.25">
      <c r="B25" s="1" t="s">
        <v>152</v>
      </c>
      <c r="C25" s="14">
        <v>0</v>
      </c>
      <c r="D25" s="14">
        <v>0</v>
      </c>
    </row>
    <row r="26" spans="2:5" x14ac:dyDescent="0.25">
      <c r="B26" s="1" t="s">
        <v>139</v>
      </c>
      <c r="C26" s="14">
        <v>2460</v>
      </c>
      <c r="D26" s="14">
        <v>2388</v>
      </c>
    </row>
    <row r="27" spans="2:5" x14ac:dyDescent="0.25">
      <c r="B27" s="9" t="s">
        <v>36</v>
      </c>
      <c r="C27" s="19">
        <f>SUM(C13:C26)</f>
        <v>55648</v>
      </c>
      <c r="D27" s="19">
        <f>SUM(D13:D26)</f>
        <v>57542</v>
      </c>
    </row>
    <row r="28" spans="2:5" x14ac:dyDescent="0.25">
      <c r="B28" s="9" t="s">
        <v>82</v>
      </c>
      <c r="C28" s="19">
        <f>+C29+C20</f>
        <v>8508</v>
      </c>
      <c r="D28" s="19">
        <f>+D29+D20</f>
        <v>8265</v>
      </c>
    </row>
    <row r="29" spans="2:5" x14ac:dyDescent="0.25">
      <c r="B29" s="9" t="s">
        <v>14</v>
      </c>
      <c r="C29" s="19">
        <f>+C12-C27</f>
        <v>5995</v>
      </c>
      <c r="D29" s="19">
        <f>+D12-D27</f>
        <v>5822</v>
      </c>
      <c r="E29" s="21"/>
    </row>
    <row r="30" spans="2:5" x14ac:dyDescent="0.25">
      <c r="B30" s="1" t="s">
        <v>54</v>
      </c>
      <c r="C30" s="14">
        <v>-747</v>
      </c>
      <c r="D30" s="14">
        <v>-679</v>
      </c>
    </row>
    <row r="31" spans="2:5" x14ac:dyDescent="0.25">
      <c r="B31" s="1" t="s">
        <v>153</v>
      </c>
      <c r="C31" s="14">
        <v>-319</v>
      </c>
      <c r="D31" s="14">
        <v>1212</v>
      </c>
    </row>
    <row r="32" spans="2:5" x14ac:dyDescent="0.25">
      <c r="B32" s="1" t="s">
        <v>154</v>
      </c>
      <c r="C32" s="14">
        <v>-39</v>
      </c>
      <c r="D32" s="14">
        <v>-26</v>
      </c>
    </row>
    <row r="33" spans="2:7" x14ac:dyDescent="0.25">
      <c r="B33" s="1" t="s">
        <v>155</v>
      </c>
      <c r="C33" s="14">
        <v>-232</v>
      </c>
      <c r="D33" s="14">
        <v>-144</v>
      </c>
    </row>
    <row r="34" spans="2:7" x14ac:dyDescent="0.25">
      <c r="B34" s="9" t="s">
        <v>156</v>
      </c>
      <c r="C34" s="19">
        <f>SUM(C30:C33)</f>
        <v>-1337</v>
      </c>
      <c r="D34" s="19">
        <f>SUM(D30:D33)</f>
        <v>363</v>
      </c>
    </row>
    <row r="35" spans="2:7" x14ac:dyDescent="0.25">
      <c r="B35" s="9" t="s">
        <v>55</v>
      </c>
      <c r="C35" s="19">
        <f>+C29+C34</f>
        <v>4658</v>
      </c>
      <c r="D35" s="29">
        <f>+D29+D34</f>
        <v>6185</v>
      </c>
    </row>
    <row r="36" spans="2:7" x14ac:dyDescent="0.25">
      <c r="B36" s="1" t="s">
        <v>56</v>
      </c>
      <c r="C36" s="14">
        <v>-1201</v>
      </c>
      <c r="D36" s="14">
        <v>-1180</v>
      </c>
    </row>
    <row r="37" spans="2:7" x14ac:dyDescent="0.25">
      <c r="B37" s="9" t="s">
        <v>157</v>
      </c>
      <c r="C37" s="30">
        <f>+C35+C36</f>
        <v>3457</v>
      </c>
      <c r="D37" s="30">
        <f>+D35+D36</f>
        <v>5005</v>
      </c>
    </row>
    <row r="38" spans="2:7" x14ac:dyDescent="0.25">
      <c r="B38" s="4" t="s">
        <v>158</v>
      </c>
      <c r="C38" s="21">
        <v>5.39</v>
      </c>
      <c r="D38" s="21">
        <v>7.72</v>
      </c>
      <c r="G38" s="21"/>
    </row>
    <row r="39" spans="2:7" x14ac:dyDescent="0.25">
      <c r="B39" s="4" t="s">
        <v>159</v>
      </c>
      <c r="C39" s="21">
        <v>5.33</v>
      </c>
      <c r="D39" s="21">
        <v>7.66</v>
      </c>
    </row>
  </sheetData>
  <mergeCells count="1">
    <mergeCell ref="C6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AAB95-B33B-4A50-B9FE-D270EF177299}">
  <dimension ref="B1:P45"/>
  <sheetViews>
    <sheetView topLeftCell="A16" workbookViewId="0"/>
  </sheetViews>
  <sheetFormatPr defaultRowHeight="15" x14ac:dyDescent="0.25"/>
  <cols>
    <col min="1" max="1" width="2.28515625" style="1" customWidth="1"/>
    <col min="2" max="2" width="7" style="1" customWidth="1"/>
    <col min="3" max="5" width="14.7109375" style="1" customWidth="1"/>
    <col min="6" max="6" width="9.140625" style="1"/>
    <col min="7" max="7" width="41.28515625" style="1" customWidth="1"/>
    <col min="8" max="9" width="16.28515625" style="1" bestFit="1" customWidth="1"/>
    <col min="10" max="12" width="9.140625" style="1"/>
    <col min="13" max="14" width="16" style="1" bestFit="1" customWidth="1"/>
    <col min="15" max="16384" width="9.140625" style="1"/>
  </cols>
  <sheetData>
    <row r="1" spans="2:16" x14ac:dyDescent="0.25">
      <c r="B1" s="1" t="s">
        <v>160</v>
      </c>
    </row>
    <row r="2" spans="2:16" x14ac:dyDescent="0.25">
      <c r="B2" s="4" t="s">
        <v>60</v>
      </c>
      <c r="H2" s="4"/>
      <c r="I2" s="4"/>
    </row>
    <row r="3" spans="2:16" x14ac:dyDescent="0.25">
      <c r="B3" s="11" t="s">
        <v>59</v>
      </c>
      <c r="H3" s="4"/>
      <c r="I3" s="4"/>
    </row>
    <row r="4" spans="2:16" x14ac:dyDescent="0.25">
      <c r="H4" s="61" t="s">
        <v>114</v>
      </c>
      <c r="I4" s="61"/>
    </row>
    <row r="5" spans="2:16" x14ac:dyDescent="0.25">
      <c r="H5" s="9">
        <v>2024</v>
      </c>
      <c r="I5" s="9">
        <v>2025</v>
      </c>
    </row>
    <row r="6" spans="2:16" x14ac:dyDescent="0.25">
      <c r="B6" s="6" t="s">
        <v>2</v>
      </c>
      <c r="C6" s="2"/>
      <c r="D6" s="2"/>
      <c r="E6" s="2"/>
      <c r="F6" s="2"/>
      <c r="G6" s="2"/>
      <c r="H6" s="6"/>
      <c r="I6" s="6"/>
    </row>
    <row r="7" spans="2:16" x14ac:dyDescent="0.25">
      <c r="B7" s="1" t="s">
        <v>3</v>
      </c>
      <c r="H7" s="14">
        <v>3069</v>
      </c>
      <c r="I7" s="14">
        <v>4310</v>
      </c>
      <c r="M7" s="21">
        <f>+H19-H45</f>
        <v>0</v>
      </c>
      <c r="N7" s="21">
        <f>+I19-I45</f>
        <v>0</v>
      </c>
      <c r="O7" s="21"/>
      <c r="P7" s="21"/>
    </row>
    <row r="8" spans="2:16" x14ac:dyDescent="0.25">
      <c r="B8" s="1" t="s">
        <v>4</v>
      </c>
      <c r="H8" s="14">
        <v>3224</v>
      </c>
      <c r="I8" s="14">
        <v>2850</v>
      </c>
    </row>
    <row r="9" spans="2:16" x14ac:dyDescent="0.25">
      <c r="B9" s="1" t="s">
        <v>115</v>
      </c>
      <c r="H9" s="14">
        <v>1428</v>
      </c>
      <c r="I9" s="14">
        <v>1601</v>
      </c>
    </row>
    <row r="10" spans="2:16" x14ac:dyDescent="0.25">
      <c r="B10" s="1" t="s">
        <v>5</v>
      </c>
      <c r="H10" s="14">
        <v>2123</v>
      </c>
      <c r="I10" s="14">
        <v>2207</v>
      </c>
    </row>
    <row r="11" spans="2:16" x14ac:dyDescent="0.25">
      <c r="B11" s="9" t="s">
        <v>6</v>
      </c>
      <c r="C11" s="10"/>
      <c r="D11" s="10"/>
      <c r="E11" s="10"/>
      <c r="F11" s="10"/>
      <c r="G11" s="10"/>
      <c r="H11" s="19">
        <f>SUM(H7:H10)</f>
        <v>9844</v>
      </c>
      <c r="I11" s="19">
        <f>SUM(I7:I10)</f>
        <v>10968</v>
      </c>
    </row>
    <row r="12" spans="2:16" x14ac:dyDescent="0.25">
      <c r="B12" s="1" t="s">
        <v>116</v>
      </c>
      <c r="H12" s="14">
        <v>37595</v>
      </c>
      <c r="I12" s="14">
        <v>39743</v>
      </c>
    </row>
    <row r="13" spans="2:16" x14ac:dyDescent="0.25">
      <c r="B13" s="1" t="s">
        <v>48</v>
      </c>
      <c r="H13" s="14">
        <v>6644</v>
      </c>
      <c r="I13" s="14">
        <v>6244</v>
      </c>
    </row>
    <row r="14" spans="2:16" x14ac:dyDescent="0.25">
      <c r="B14" s="1" t="s">
        <v>49</v>
      </c>
      <c r="H14" s="14">
        <v>9753</v>
      </c>
      <c r="I14" s="14">
        <v>9753</v>
      </c>
    </row>
    <row r="15" spans="2:16" x14ac:dyDescent="0.25">
      <c r="B15" s="1" t="s">
        <v>117</v>
      </c>
      <c r="H15" s="14">
        <v>5975</v>
      </c>
      <c r="I15" s="14">
        <v>5966</v>
      </c>
    </row>
    <row r="16" spans="2:16" x14ac:dyDescent="0.25">
      <c r="B16" s="1" t="s">
        <v>118</v>
      </c>
      <c r="H16" s="14">
        <v>2846</v>
      </c>
      <c r="I16" s="14">
        <v>4222</v>
      </c>
    </row>
    <row r="17" spans="2:9" x14ac:dyDescent="0.25">
      <c r="B17" s="1" t="s">
        <v>119</v>
      </c>
      <c r="H17" s="14">
        <v>2715</v>
      </c>
      <c r="I17" s="14">
        <v>4421</v>
      </c>
    </row>
    <row r="18" spans="2:9" x14ac:dyDescent="0.25">
      <c r="B18" s="9" t="s">
        <v>7</v>
      </c>
      <c r="C18" s="9"/>
      <c r="D18" s="9"/>
      <c r="E18" s="9"/>
      <c r="F18" s="9"/>
      <c r="G18" s="9"/>
      <c r="H18" s="19">
        <f>SUM(H12:H17)</f>
        <v>65528</v>
      </c>
      <c r="I18" s="19">
        <f>SUM(I12:I17)</f>
        <v>70349</v>
      </c>
    </row>
    <row r="19" spans="2:9" x14ac:dyDescent="0.25">
      <c r="B19" s="9" t="s">
        <v>1</v>
      </c>
      <c r="C19" s="10"/>
      <c r="D19" s="10"/>
      <c r="E19" s="10"/>
      <c r="F19" s="10"/>
      <c r="G19" s="10"/>
      <c r="H19" s="19">
        <f>+H18+H11</f>
        <v>75372</v>
      </c>
      <c r="I19" s="19">
        <f t="shared" ref="I19" si="0">+I18+I11</f>
        <v>81317</v>
      </c>
    </row>
    <row r="20" spans="2:9" x14ac:dyDescent="0.25">
      <c r="H20" s="14"/>
      <c r="I20" s="14"/>
    </row>
    <row r="21" spans="2:9" x14ac:dyDescent="0.25">
      <c r="B21" s="6" t="s">
        <v>8</v>
      </c>
      <c r="C21" s="2"/>
      <c r="D21" s="2"/>
      <c r="E21" s="2"/>
      <c r="F21" s="2"/>
      <c r="G21" s="2"/>
      <c r="H21" s="16"/>
      <c r="I21" s="16"/>
    </row>
    <row r="22" spans="2:9" x14ac:dyDescent="0.25">
      <c r="B22" s="1" t="s">
        <v>120</v>
      </c>
      <c r="H22" s="14">
        <v>2175</v>
      </c>
      <c r="I22" s="14">
        <v>1605</v>
      </c>
    </row>
    <row r="23" spans="2:9" x14ac:dyDescent="0.25">
      <c r="B23" s="1" t="s">
        <v>121</v>
      </c>
      <c r="H23" s="14">
        <v>763</v>
      </c>
      <c r="I23" s="14">
        <v>809</v>
      </c>
    </row>
    <row r="24" spans="2:9" x14ac:dyDescent="0.25">
      <c r="B24" s="1" t="s">
        <v>122</v>
      </c>
      <c r="H24" s="14">
        <v>7094</v>
      </c>
      <c r="I24" s="14">
        <v>7157</v>
      </c>
    </row>
    <row r="25" spans="2:9" x14ac:dyDescent="0.25">
      <c r="B25" s="1" t="s">
        <v>9</v>
      </c>
      <c r="H25" s="14">
        <v>4650</v>
      </c>
      <c r="I25" s="14">
        <v>5226</v>
      </c>
    </row>
    <row r="26" spans="2:9" x14ac:dyDescent="0.25">
      <c r="B26" s="1" t="s">
        <v>123</v>
      </c>
      <c r="H26" s="14">
        <v>4762</v>
      </c>
      <c r="I26" s="14">
        <v>4906</v>
      </c>
    </row>
    <row r="27" spans="2:9" x14ac:dyDescent="0.25">
      <c r="B27" s="1" t="s">
        <v>124</v>
      </c>
      <c r="H27" s="14">
        <v>4314</v>
      </c>
      <c r="I27" s="14">
        <v>4876</v>
      </c>
    </row>
    <row r="28" spans="2:9" x14ac:dyDescent="0.25">
      <c r="B28" s="1" t="s">
        <v>125</v>
      </c>
      <c r="H28" s="14">
        <v>1100</v>
      </c>
      <c r="I28" s="14">
        <v>1100</v>
      </c>
    </row>
    <row r="29" spans="2:9" x14ac:dyDescent="0.25">
      <c r="B29" s="1" t="s">
        <v>126</v>
      </c>
      <c r="H29" s="14">
        <v>1812</v>
      </c>
      <c r="I29" s="14">
        <v>1945</v>
      </c>
    </row>
    <row r="30" spans="2:9" x14ac:dyDescent="0.25">
      <c r="B30" s="9" t="s">
        <v>10</v>
      </c>
      <c r="C30" s="9"/>
      <c r="D30" s="9"/>
      <c r="E30" s="9"/>
      <c r="F30" s="9"/>
      <c r="G30" s="9"/>
      <c r="H30" s="19">
        <f>SUM(H22:H29)</f>
        <v>26670</v>
      </c>
      <c r="I30" s="19">
        <f>SUM(I22:I29)</f>
        <v>27624</v>
      </c>
    </row>
    <row r="31" spans="2:9" x14ac:dyDescent="0.25">
      <c r="B31" s="1" t="s">
        <v>127</v>
      </c>
      <c r="H31" s="14">
        <v>14019</v>
      </c>
      <c r="I31" s="14">
        <v>12507</v>
      </c>
    </row>
    <row r="32" spans="2:9" x14ac:dyDescent="0.25">
      <c r="B32" s="1" t="s">
        <v>128</v>
      </c>
      <c r="H32" s="14">
        <v>5814</v>
      </c>
      <c r="I32" s="14">
        <v>5353</v>
      </c>
    </row>
    <row r="33" spans="2:9" x14ac:dyDescent="0.25">
      <c r="B33" s="1" t="s">
        <v>129</v>
      </c>
      <c r="H33" s="14">
        <v>3144</v>
      </c>
      <c r="I33" s="14">
        <v>3156</v>
      </c>
    </row>
    <row r="34" spans="2:9" x14ac:dyDescent="0.25">
      <c r="B34" s="1" t="s">
        <v>124</v>
      </c>
      <c r="H34" s="14">
        <v>4512</v>
      </c>
      <c r="I34" s="14">
        <v>4386</v>
      </c>
    </row>
    <row r="35" spans="2:9" x14ac:dyDescent="0.25">
      <c r="B35" s="1" t="s">
        <v>130</v>
      </c>
      <c r="H35" s="14">
        <v>2176</v>
      </c>
      <c r="I35" s="14">
        <v>3444</v>
      </c>
    </row>
    <row r="36" spans="2:9" x14ac:dyDescent="0.25">
      <c r="B36" s="1" t="s">
        <v>131</v>
      </c>
      <c r="H36" s="14">
        <v>3744</v>
      </c>
      <c r="I36" s="14">
        <v>3994</v>
      </c>
    </row>
    <row r="37" spans="2:9" x14ac:dyDescent="0.25">
      <c r="B37" s="9" t="s">
        <v>12</v>
      </c>
      <c r="C37" s="9"/>
      <c r="D37" s="9"/>
      <c r="E37" s="9"/>
      <c r="F37" s="9"/>
      <c r="G37" s="9"/>
      <c r="H37" s="19">
        <f>SUM(H31:H36)</f>
        <v>33409</v>
      </c>
      <c r="I37" s="19">
        <f>SUM(I31:I36)</f>
        <v>32840</v>
      </c>
    </row>
    <row r="38" spans="2:9" x14ac:dyDescent="0.25">
      <c r="B38" s="9" t="s">
        <v>50</v>
      </c>
      <c r="C38" s="9"/>
      <c r="D38" s="9"/>
      <c r="E38" s="9"/>
      <c r="F38" s="9"/>
      <c r="G38" s="9"/>
      <c r="H38" s="19">
        <f>+H37+H30</f>
        <v>60079</v>
      </c>
      <c r="I38" s="19">
        <f>+I37+I30</f>
        <v>60464</v>
      </c>
    </row>
    <row r="39" spans="2:9" x14ac:dyDescent="0.25">
      <c r="B39" s="1" t="s">
        <v>132</v>
      </c>
      <c r="C39" s="4"/>
      <c r="D39" s="4"/>
      <c r="E39" s="4"/>
      <c r="F39" s="4"/>
      <c r="G39" s="4"/>
      <c r="H39" s="28">
        <v>0</v>
      </c>
      <c r="I39" s="28">
        <v>0</v>
      </c>
    </row>
    <row r="40" spans="2:9" x14ac:dyDescent="0.25">
      <c r="B40" s="1" t="s">
        <v>133</v>
      </c>
      <c r="C40" s="4"/>
      <c r="D40" s="4"/>
      <c r="E40" s="4"/>
      <c r="F40" s="4"/>
      <c r="G40" s="4"/>
      <c r="H40" s="28">
        <v>11740</v>
      </c>
      <c r="I40" s="28">
        <v>11883</v>
      </c>
    </row>
    <row r="41" spans="2:9" x14ac:dyDescent="0.25">
      <c r="B41" s="1" t="s">
        <v>51</v>
      </c>
      <c r="C41" s="4"/>
      <c r="D41" s="4"/>
      <c r="E41" s="4"/>
      <c r="F41" s="4"/>
      <c r="G41" s="4"/>
      <c r="H41" s="28">
        <v>8783</v>
      </c>
      <c r="I41" s="28">
        <v>13343</v>
      </c>
    </row>
    <row r="42" spans="2:9" x14ac:dyDescent="0.25">
      <c r="B42" s="1" t="s">
        <v>134</v>
      </c>
      <c r="C42" s="4"/>
      <c r="D42" s="4"/>
      <c r="E42" s="4"/>
      <c r="F42" s="4"/>
      <c r="G42" s="4"/>
      <c r="H42" s="28">
        <v>-4979</v>
      </c>
      <c r="I42" s="28">
        <v>-4135</v>
      </c>
    </row>
    <row r="43" spans="2:9" x14ac:dyDescent="0.25">
      <c r="B43" s="1" t="s">
        <v>135</v>
      </c>
      <c r="C43" s="4"/>
      <c r="D43" s="4"/>
      <c r="E43" s="4"/>
      <c r="F43" s="4"/>
      <c r="G43" s="4"/>
      <c r="H43" s="28">
        <v>-251</v>
      </c>
      <c r="I43" s="28">
        <v>-238</v>
      </c>
    </row>
    <row r="44" spans="2:9" x14ac:dyDescent="0.25">
      <c r="B44" s="4" t="s">
        <v>52</v>
      </c>
      <c r="H44" s="17">
        <f>SUM(H39:H43)</f>
        <v>15293</v>
      </c>
      <c r="I44" s="17">
        <f>SUM(I39:I43)</f>
        <v>20853</v>
      </c>
    </row>
    <row r="45" spans="2:9" x14ac:dyDescent="0.25">
      <c r="B45" s="4" t="s">
        <v>11</v>
      </c>
      <c r="C45" s="4"/>
      <c r="D45" s="4"/>
      <c r="E45" s="4"/>
      <c r="F45" s="4"/>
      <c r="G45" s="4"/>
      <c r="H45" s="20">
        <f>+H30+H37+H44</f>
        <v>75372</v>
      </c>
      <c r="I45" s="20">
        <f>+I30+I37+I44</f>
        <v>81317</v>
      </c>
    </row>
  </sheetData>
  <mergeCells count="1"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AD8AC-E8C5-462F-946B-D89FF9DD3D31}">
  <dimension ref="B1:E49"/>
  <sheetViews>
    <sheetView workbookViewId="0">
      <selection activeCell="C9" sqref="C9"/>
    </sheetView>
  </sheetViews>
  <sheetFormatPr defaultRowHeight="15" x14ac:dyDescent="0.25"/>
  <cols>
    <col min="1" max="1" width="1.5703125" style="1" customWidth="1"/>
    <col min="2" max="2" width="73.28515625" style="1" bestFit="1" customWidth="1"/>
    <col min="3" max="3" width="23.42578125" style="1" customWidth="1"/>
    <col min="4" max="4" width="19.140625" style="1" customWidth="1"/>
    <col min="5" max="5" width="15.28515625" style="1" bestFit="1" customWidth="1"/>
    <col min="6" max="16384" width="9.140625" style="1"/>
  </cols>
  <sheetData>
    <row r="1" spans="2:4" x14ac:dyDescent="0.25">
      <c r="B1" s="1" t="s">
        <v>160</v>
      </c>
    </row>
    <row r="2" spans="2:4" x14ac:dyDescent="0.25">
      <c r="B2" s="4" t="s">
        <v>58</v>
      </c>
    </row>
    <row r="3" spans="2:4" x14ac:dyDescent="0.25">
      <c r="B3" s="4" t="s">
        <v>57</v>
      </c>
    </row>
    <row r="4" spans="2:4" x14ac:dyDescent="0.25">
      <c r="B4" s="11"/>
    </row>
    <row r="6" spans="2:4" x14ac:dyDescent="0.25">
      <c r="C6" s="61" t="s">
        <v>138</v>
      </c>
      <c r="D6" s="61"/>
    </row>
    <row r="7" spans="2:4" x14ac:dyDescent="0.25">
      <c r="B7" s="10"/>
      <c r="C7" s="9">
        <v>2024</v>
      </c>
      <c r="D7" s="6">
        <v>2025</v>
      </c>
    </row>
    <row r="8" spans="2:4" x14ac:dyDescent="0.25">
      <c r="B8" s="9" t="s">
        <v>161</v>
      </c>
      <c r="C8" s="9"/>
      <c r="D8" s="9"/>
    </row>
    <row r="9" spans="2:4" x14ac:dyDescent="0.25">
      <c r="B9" s="1" t="s">
        <v>157</v>
      </c>
      <c r="C9" s="37">
        <v>3457</v>
      </c>
      <c r="D9" s="37">
        <v>5005</v>
      </c>
    </row>
    <row r="10" spans="2:4" x14ac:dyDescent="0.25">
      <c r="B10" s="18" t="s">
        <v>170</v>
      </c>
      <c r="C10" s="46"/>
      <c r="D10" s="46"/>
    </row>
    <row r="11" spans="2:4" x14ac:dyDescent="0.25">
      <c r="B11" s="1" t="s">
        <v>147</v>
      </c>
      <c r="C11" s="37">
        <v>2513</v>
      </c>
      <c r="D11" s="37">
        <v>2443</v>
      </c>
    </row>
    <row r="12" spans="2:4" x14ac:dyDescent="0.25">
      <c r="B12" s="1" t="s">
        <v>162</v>
      </c>
      <c r="C12" s="37">
        <v>1155</v>
      </c>
      <c r="D12" s="37">
        <v>1109</v>
      </c>
    </row>
    <row r="13" spans="2:4" x14ac:dyDescent="0.25">
      <c r="B13" s="1" t="s">
        <v>163</v>
      </c>
      <c r="C13" s="37">
        <v>323</v>
      </c>
      <c r="D13" s="37">
        <v>-1209</v>
      </c>
    </row>
    <row r="14" spans="2:4" x14ac:dyDescent="0.25">
      <c r="B14" s="1" t="s">
        <v>164</v>
      </c>
      <c r="C14" s="37">
        <v>-296</v>
      </c>
      <c r="D14" s="37">
        <v>-210</v>
      </c>
    </row>
    <row r="15" spans="2:4" x14ac:dyDescent="0.25">
      <c r="B15" s="18" t="s">
        <v>171</v>
      </c>
      <c r="C15" s="46"/>
      <c r="D15" s="46"/>
    </row>
    <row r="16" spans="2:4" x14ac:dyDescent="0.25">
      <c r="B16" s="1" t="s">
        <v>165</v>
      </c>
      <c r="C16" s="37">
        <v>-126</v>
      </c>
      <c r="D16" s="37">
        <v>432</v>
      </c>
    </row>
    <row r="17" spans="2:4" x14ac:dyDescent="0.25">
      <c r="B17" s="1" t="s">
        <v>166</v>
      </c>
      <c r="C17" s="37">
        <v>-241</v>
      </c>
      <c r="D17" s="37">
        <v>-183</v>
      </c>
    </row>
    <row r="18" spans="2:4" x14ac:dyDescent="0.25">
      <c r="B18" s="1" t="s">
        <v>122</v>
      </c>
      <c r="C18" s="37">
        <v>50</v>
      </c>
      <c r="D18" s="37">
        <v>63</v>
      </c>
    </row>
    <row r="19" spans="2:4" x14ac:dyDescent="0.25">
      <c r="B19" s="1" t="s">
        <v>124</v>
      </c>
      <c r="C19" s="37">
        <v>407</v>
      </c>
      <c r="D19" s="37">
        <v>435</v>
      </c>
    </row>
    <row r="20" spans="2:4" x14ac:dyDescent="0.25">
      <c r="B20" s="1" t="s">
        <v>150</v>
      </c>
      <c r="C20" s="37">
        <v>6</v>
      </c>
      <c r="D20" s="37">
        <v>-53</v>
      </c>
    </row>
    <row r="21" spans="2:4" x14ac:dyDescent="0.25">
      <c r="B21" s="1" t="s">
        <v>167</v>
      </c>
      <c r="C21" s="37">
        <v>614</v>
      </c>
      <c r="D21" s="37">
        <v>842</v>
      </c>
    </row>
    <row r="22" spans="2:4" x14ac:dyDescent="0.25">
      <c r="B22" s="1" t="s">
        <v>168</v>
      </c>
      <c r="C22" s="37">
        <v>163</v>
      </c>
      <c r="D22" s="37">
        <v>-332</v>
      </c>
    </row>
    <row r="23" spans="2:4" x14ac:dyDescent="0.25">
      <c r="B23" s="9" t="s">
        <v>169</v>
      </c>
      <c r="C23" s="30">
        <f>SUM(C16:C22,C9,C11:C14)</f>
        <v>8025</v>
      </c>
      <c r="D23" s="30">
        <f>SUM(D16:D22,D9,D11:D14)</f>
        <v>8342</v>
      </c>
    </row>
    <row r="24" spans="2:4" x14ac:dyDescent="0.25">
      <c r="B24" s="9" t="s">
        <v>172</v>
      </c>
      <c r="C24" s="19"/>
      <c r="D24" s="19"/>
    </row>
    <row r="25" spans="2:4" x14ac:dyDescent="0.25">
      <c r="B25" s="4" t="s">
        <v>173</v>
      </c>
      <c r="C25" s="14"/>
      <c r="D25" s="14"/>
    </row>
    <row r="26" spans="2:4" x14ac:dyDescent="0.25">
      <c r="B26" s="1" t="s">
        <v>174</v>
      </c>
      <c r="C26" s="14">
        <v>-3914</v>
      </c>
      <c r="D26" s="14">
        <v>-3521</v>
      </c>
    </row>
    <row r="27" spans="2:4" x14ac:dyDescent="0.25">
      <c r="B27" s="1" t="s">
        <v>175</v>
      </c>
      <c r="C27" s="14">
        <v>-1226</v>
      </c>
      <c r="D27" s="14">
        <v>-978</v>
      </c>
    </row>
    <row r="28" spans="2:4" x14ac:dyDescent="0.25">
      <c r="B28" s="1" t="s">
        <v>176</v>
      </c>
      <c r="C28" s="14">
        <v>0</v>
      </c>
      <c r="D28" s="14">
        <v>-276</v>
      </c>
    </row>
    <row r="29" spans="2:4" x14ac:dyDescent="0.25">
      <c r="B29" s="1" t="s">
        <v>177</v>
      </c>
      <c r="C29" s="14">
        <v>0</v>
      </c>
      <c r="D29" s="14">
        <v>0</v>
      </c>
    </row>
    <row r="30" spans="2:4" x14ac:dyDescent="0.25">
      <c r="B30" s="1" t="s">
        <v>178</v>
      </c>
      <c r="C30" s="14">
        <v>1137</v>
      </c>
      <c r="D30" s="14">
        <v>0</v>
      </c>
    </row>
    <row r="31" spans="2:4" x14ac:dyDescent="0.25">
      <c r="B31" s="1" t="s">
        <v>168</v>
      </c>
      <c r="C31" s="14">
        <v>264</v>
      </c>
      <c r="D31" s="14">
        <v>589</v>
      </c>
    </row>
    <row r="32" spans="2:4" x14ac:dyDescent="0.25">
      <c r="B32" s="9" t="s">
        <v>179</v>
      </c>
      <c r="C32" s="30">
        <f>SUM(C26:C31)</f>
        <v>-3739</v>
      </c>
      <c r="D32" s="30">
        <f>SUM(D26:D31)</f>
        <v>-4186</v>
      </c>
    </row>
    <row r="33" spans="2:5" x14ac:dyDescent="0.25">
      <c r="B33" s="9" t="s">
        <v>180</v>
      </c>
      <c r="C33" s="19"/>
      <c r="D33" s="19"/>
    </row>
    <row r="34" spans="2:5" x14ac:dyDescent="0.25">
      <c r="B34" s="4" t="s">
        <v>173</v>
      </c>
      <c r="C34" s="14"/>
      <c r="D34" s="14"/>
    </row>
    <row r="35" spans="2:5" x14ac:dyDescent="0.25">
      <c r="B35" s="1" t="s">
        <v>181</v>
      </c>
      <c r="C35" s="14">
        <v>0</v>
      </c>
      <c r="D35" s="14">
        <v>2215</v>
      </c>
      <c r="E35" s="21"/>
    </row>
    <row r="36" spans="2:5" x14ac:dyDescent="0.25">
      <c r="B36" s="1" t="s">
        <v>182</v>
      </c>
      <c r="C36" s="14">
        <v>-3953</v>
      </c>
      <c r="D36" s="14">
        <v>-4827</v>
      </c>
    </row>
    <row r="37" spans="2:5" x14ac:dyDescent="0.25">
      <c r="B37" s="1" t="s">
        <v>183</v>
      </c>
      <c r="C37" s="14">
        <v>-321</v>
      </c>
      <c r="D37" s="14">
        <v>-440</v>
      </c>
    </row>
    <row r="38" spans="2:5" x14ac:dyDescent="0.25">
      <c r="B38" s="1" t="s">
        <v>168</v>
      </c>
      <c r="C38" s="14">
        <v>14</v>
      </c>
      <c r="D38" s="14">
        <v>-24</v>
      </c>
    </row>
    <row r="39" spans="2:5" x14ac:dyDescent="0.25">
      <c r="B39" s="9" t="s">
        <v>184</v>
      </c>
      <c r="C39" s="30">
        <f>SUM(C35:C38)</f>
        <v>-4260</v>
      </c>
      <c r="D39" s="30">
        <f>SUM(D35:D38)</f>
        <v>-3076</v>
      </c>
    </row>
    <row r="40" spans="2:5" x14ac:dyDescent="0.25">
      <c r="B40" s="1" t="s">
        <v>185</v>
      </c>
      <c r="C40" s="44">
        <v>26</v>
      </c>
      <c r="D40" s="44">
        <v>1080</v>
      </c>
    </row>
    <row r="41" spans="2:5" x14ac:dyDescent="0.25">
      <c r="B41" s="1" t="s">
        <v>186</v>
      </c>
      <c r="C41" s="21">
        <v>3395</v>
      </c>
      <c r="D41" s="21">
        <v>3421</v>
      </c>
    </row>
    <row r="42" spans="2:5" x14ac:dyDescent="0.25">
      <c r="B42" s="18" t="s">
        <v>187</v>
      </c>
      <c r="C42" s="45">
        <f>SUM(C40:C41)</f>
        <v>3421</v>
      </c>
      <c r="D42" s="45">
        <f>SUM(D40:D41)</f>
        <v>4501</v>
      </c>
    </row>
    <row r="43" spans="2:5" x14ac:dyDescent="0.25">
      <c r="B43" s="4" t="s">
        <v>188</v>
      </c>
      <c r="C43" s="14">
        <v>1001</v>
      </c>
      <c r="D43" s="14">
        <v>850</v>
      </c>
    </row>
    <row r="44" spans="2:5" x14ac:dyDescent="0.25">
      <c r="B44" s="18" t="s">
        <v>193</v>
      </c>
      <c r="C44" s="43"/>
      <c r="D44" s="43"/>
    </row>
    <row r="45" spans="2:5" x14ac:dyDescent="0.25">
      <c r="B45" s="1" t="s">
        <v>189</v>
      </c>
      <c r="C45" s="14">
        <v>327</v>
      </c>
      <c r="D45" s="14">
        <v>375</v>
      </c>
    </row>
    <row r="46" spans="2:5" x14ac:dyDescent="0.25">
      <c r="B46" s="1" t="s">
        <v>190</v>
      </c>
      <c r="C46" s="14">
        <v>-17</v>
      </c>
      <c r="D46" s="14">
        <v>184</v>
      </c>
    </row>
    <row r="47" spans="2:5" x14ac:dyDescent="0.25">
      <c r="B47" s="1" t="s">
        <v>191</v>
      </c>
      <c r="C47" s="14">
        <v>25</v>
      </c>
      <c r="D47" s="14">
        <v>312</v>
      </c>
    </row>
    <row r="48" spans="2:5" x14ac:dyDescent="0.25">
      <c r="B48" s="1" t="s">
        <v>192</v>
      </c>
      <c r="C48" s="14">
        <v>0</v>
      </c>
      <c r="D48" s="14">
        <v>371</v>
      </c>
    </row>
    <row r="49" spans="3:4" x14ac:dyDescent="0.25">
      <c r="C49" s="14"/>
      <c r="D49" s="14"/>
    </row>
  </sheetData>
  <mergeCells count="1">
    <mergeCell ref="C6: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A5020-1FAB-466F-BC03-0E44D5A9B6E6}">
  <dimension ref="B1:L65"/>
  <sheetViews>
    <sheetView workbookViewId="0">
      <selection activeCell="K45" sqref="K45"/>
    </sheetView>
  </sheetViews>
  <sheetFormatPr defaultRowHeight="15" x14ac:dyDescent="0.25"/>
  <cols>
    <col min="1" max="1" width="1.5703125" style="1" customWidth="1"/>
    <col min="2" max="2" width="64.28515625" style="1" bestFit="1" customWidth="1"/>
    <col min="3" max="3" width="9.140625" style="1"/>
    <col min="4" max="4" width="15.28515625" style="1" bestFit="1" customWidth="1"/>
    <col min="5" max="5" width="16" style="1" bestFit="1" customWidth="1"/>
    <col min="6" max="6" width="17" style="1" bestFit="1" customWidth="1"/>
    <col min="7" max="7" width="9.140625" style="1"/>
    <col min="8" max="8" width="11.85546875" style="1" bestFit="1" customWidth="1"/>
    <col min="9" max="9" width="22.42578125" style="1" customWidth="1"/>
    <col min="10" max="10" width="23.5703125" style="1" customWidth="1"/>
    <col min="11" max="11" width="18" style="1" customWidth="1"/>
    <col min="12" max="12" width="15.85546875" style="1" customWidth="1"/>
    <col min="13" max="16384" width="9.140625" style="1"/>
  </cols>
  <sheetData>
    <row r="1" spans="2:12" x14ac:dyDescent="0.25">
      <c r="B1" s="4" t="s">
        <v>208</v>
      </c>
    </row>
    <row r="3" spans="2:12" x14ac:dyDescent="0.25">
      <c r="B3" s="7" t="s">
        <v>15</v>
      </c>
      <c r="C3" s="6"/>
      <c r="D3" s="6">
        <v>2024</v>
      </c>
      <c r="E3" s="6">
        <v>2025</v>
      </c>
      <c r="F3" s="61"/>
      <c r="G3" s="61"/>
      <c r="H3" s="27"/>
      <c r="I3" s="7" t="s">
        <v>35</v>
      </c>
      <c r="J3" s="6"/>
      <c r="K3" s="6">
        <v>2024</v>
      </c>
      <c r="L3" s="4"/>
    </row>
    <row r="4" spans="2:12" x14ac:dyDescent="0.25">
      <c r="B4" s="8" t="s">
        <v>16</v>
      </c>
      <c r="C4" s="10"/>
      <c r="D4" s="10"/>
      <c r="E4" s="6"/>
      <c r="F4" s="2"/>
      <c r="G4" s="2"/>
      <c r="I4" s="1" t="s">
        <v>53</v>
      </c>
      <c r="K4" s="22">
        <f>+(IS!D9-IS!C9)/IS!C9</f>
        <v>1.7172947695209651E-2</v>
      </c>
      <c r="L4" s="22"/>
    </row>
    <row r="5" spans="2:12" x14ac:dyDescent="0.25">
      <c r="B5" s="4" t="s">
        <v>17</v>
      </c>
      <c r="D5" s="32">
        <f>+BS!H11/BS!H30</f>
        <v>0.36910386201724782</v>
      </c>
      <c r="E5" s="32">
        <f>+BS!I11/BS!I30</f>
        <v>0.39704604691572548</v>
      </c>
      <c r="I5" s="1" t="s">
        <v>38</v>
      </c>
      <c r="K5" s="22">
        <f>+(IS!D27-IS!C27)/IS!C27</f>
        <v>3.4035365152386428E-2</v>
      </c>
      <c r="L5" s="22"/>
    </row>
    <row r="6" spans="2:12" x14ac:dyDescent="0.25">
      <c r="B6" s="4" t="s">
        <v>194</v>
      </c>
      <c r="D6" s="17">
        <f>+BS!H8+BS!H9+BS!H10-(BS!H25+BS!H26+BS!H24+BS!H27+BS!H28+BS!H29)</f>
        <v>-16957</v>
      </c>
      <c r="E6" s="17">
        <f>+BS!I8+BS!I9+BS!I10-(BS!I25+BS!I26+BS!I24+BS!I27+BS!I28+BS!I29)</f>
        <v>-18552</v>
      </c>
      <c r="I6" s="1" t="s">
        <v>19</v>
      </c>
      <c r="K6" s="22">
        <f>+((E10-D10)/D10)</f>
        <v>1.0564452415627531E-2</v>
      </c>
      <c r="L6" s="22"/>
    </row>
    <row r="7" spans="2:12" x14ac:dyDescent="0.25">
      <c r="B7" s="4" t="s">
        <v>61</v>
      </c>
      <c r="D7" s="17"/>
      <c r="E7" s="17">
        <f>+E6-D6</f>
        <v>-1595</v>
      </c>
      <c r="F7" s="4"/>
      <c r="I7" s="1" t="s">
        <v>20</v>
      </c>
      <c r="K7" s="22">
        <f t="shared" ref="K7" si="0">+((E11-D11)/D11)</f>
        <v>-4.5253198043133151E-2</v>
      </c>
    </row>
    <row r="8" spans="2:12" x14ac:dyDescent="0.25">
      <c r="B8" s="11"/>
      <c r="I8" s="1" t="s">
        <v>21</v>
      </c>
      <c r="K8" s="22">
        <f t="shared" ref="K8" si="1">+((E12-D12)/D12)</f>
        <v>0.42334408511448274</v>
      </c>
    </row>
    <row r="9" spans="2:12" x14ac:dyDescent="0.25">
      <c r="B9" s="7" t="s">
        <v>18</v>
      </c>
      <c r="C9" s="2"/>
      <c r="D9" s="6"/>
      <c r="E9" s="6"/>
      <c r="F9" s="2"/>
      <c r="G9" s="2"/>
      <c r="I9" s="1" t="s">
        <v>62</v>
      </c>
      <c r="K9" s="22">
        <f>+((E23-D23))/D23</f>
        <v>6.5788599115237101E-2</v>
      </c>
    </row>
    <row r="10" spans="2:12" x14ac:dyDescent="0.25">
      <c r="B10" s="4" t="s">
        <v>19</v>
      </c>
      <c r="C10" s="22"/>
      <c r="D10" s="22">
        <f>+IS!C12/IS!C9</f>
        <v>1.2112036782331905</v>
      </c>
      <c r="E10" s="22">
        <f>+IS!D12/IS!D9</f>
        <v>1.2239993818575181</v>
      </c>
      <c r="I10" s="1" t="s">
        <v>63</v>
      </c>
      <c r="K10" s="22">
        <f>+(E24-D24)/D24</f>
        <v>7.5590392005478665E-2</v>
      </c>
    </row>
    <row r="11" spans="2:12" x14ac:dyDescent="0.25">
      <c r="B11" s="4" t="s">
        <v>20</v>
      </c>
      <c r="C11" s="22"/>
      <c r="D11" s="22">
        <f>+IS!C29/IS!C9</f>
        <v>0.11779384603293119</v>
      </c>
      <c r="E11" s="22">
        <f>+IS!D29/IS!D9</f>
        <v>0.11246329779014062</v>
      </c>
      <c r="I11" s="1" t="s">
        <v>64</v>
      </c>
      <c r="K11" s="22">
        <f>+(E25-D25)/D25</f>
        <v>-0.16291970976455955</v>
      </c>
    </row>
    <row r="12" spans="2:12" x14ac:dyDescent="0.25">
      <c r="B12" s="4" t="s">
        <v>21</v>
      </c>
      <c r="C12" s="22"/>
      <c r="D12" s="22">
        <f>+IS!C37/IS!C9</f>
        <v>6.7925492199473414E-2</v>
      </c>
      <c r="E12" s="22">
        <f>+IS!D37/IS!D9</f>
        <v>9.6681347550610419E-2</v>
      </c>
      <c r="I12" s="1" t="s">
        <v>199</v>
      </c>
      <c r="K12" s="51">
        <f>+(CF!D23-CF!C23)/CF!C23</f>
        <v>3.9501557632398751E-2</v>
      </c>
    </row>
    <row r="13" spans="2:12" hidden="1" x14ac:dyDescent="0.25">
      <c r="B13" s="4" t="s">
        <v>22</v>
      </c>
      <c r="C13" s="22"/>
      <c r="D13" s="22"/>
      <c r="E13" s="22" t="e">
        <f>+IS!#REF!/BS!I44</f>
        <v>#REF!</v>
      </c>
      <c r="F13" s="21"/>
    </row>
    <row r="14" spans="2:12" hidden="1" x14ac:dyDescent="0.25">
      <c r="B14" s="4" t="s">
        <v>67</v>
      </c>
      <c r="C14" s="22"/>
      <c r="D14" s="22" t="e">
        <f>+IS!#REF!/BS!H19</f>
        <v>#REF!</v>
      </c>
      <c r="E14" s="22" t="e">
        <f>+IS!#REF!/BS!I19</f>
        <v>#REF!</v>
      </c>
      <c r="F14" s="21"/>
    </row>
    <row r="15" spans="2:12" x14ac:dyDescent="0.25">
      <c r="B15" s="4" t="s">
        <v>70</v>
      </c>
      <c r="C15" s="22">
        <f>+ABS(IS!C36/IS!C37)</f>
        <v>0.34741105004339023</v>
      </c>
      <c r="D15" s="47">
        <f>+C15</f>
        <v>0.34741105004339023</v>
      </c>
      <c r="E15" s="22"/>
      <c r="F15" s="21"/>
      <c r="I15" s="1" t="s">
        <v>196</v>
      </c>
      <c r="K15" s="51">
        <f>+-((F56-E56)/F56)</f>
        <v>0.14247610580128917</v>
      </c>
    </row>
    <row r="16" spans="2:12" x14ac:dyDescent="0.25">
      <c r="B16" s="4" t="s">
        <v>95</v>
      </c>
      <c r="C16" s="22"/>
      <c r="D16" s="14">
        <f>+(1-$C$15)*IS!C29</f>
        <v>3912.2707549898755</v>
      </c>
      <c r="E16" s="14">
        <f>+(1-$C$15)*IS!D29</f>
        <v>3799.3728666473821</v>
      </c>
      <c r="I16" s="1" t="s">
        <v>198</v>
      </c>
      <c r="K16" s="51">
        <f>+(F57-E57)/F57</f>
        <v>0.24928441321883946</v>
      </c>
    </row>
    <row r="17" spans="2:11" x14ac:dyDescent="0.25">
      <c r="B17" s="4" t="s">
        <v>85</v>
      </c>
      <c r="C17" s="22"/>
      <c r="D17" s="22"/>
      <c r="E17" s="22">
        <f>+E16/D42</f>
        <v>7.8658707023464502E-2</v>
      </c>
      <c r="I17" s="1" t="s">
        <v>17</v>
      </c>
      <c r="K17" s="51">
        <f>+(E5-D5)/E5</f>
        <v>7.0375174656778533E-2</v>
      </c>
    </row>
    <row r="18" spans="2:11" hidden="1" x14ac:dyDescent="0.25">
      <c r="B18" s="4" t="s">
        <v>87</v>
      </c>
      <c r="C18" s="38" t="e">
        <f>+ABS(#REF!)</f>
        <v>#REF!</v>
      </c>
      <c r="D18" s="22"/>
      <c r="E18" s="22"/>
    </row>
    <row r="19" spans="2:11" hidden="1" x14ac:dyDescent="0.25">
      <c r="B19" s="4" t="s">
        <v>95</v>
      </c>
      <c r="C19" s="22"/>
      <c r="D19" s="14" t="e">
        <f>+(1-$C$18)*IS!D29</f>
        <v>#REF!</v>
      </c>
      <c r="E19" s="14" t="e">
        <f>+(1-C18)*IS!D29</f>
        <v>#REF!</v>
      </c>
    </row>
    <row r="20" spans="2:11" hidden="1" x14ac:dyDescent="0.25">
      <c r="B20" s="4" t="s">
        <v>86</v>
      </c>
      <c r="C20" s="22"/>
      <c r="D20" s="14"/>
      <c r="E20" s="22" t="e">
        <f>+E19/D42</f>
        <v>#REF!</v>
      </c>
    </row>
    <row r="21" spans="2:11" x14ac:dyDescent="0.25">
      <c r="C21" s="22"/>
      <c r="D21" s="22"/>
      <c r="I21" s="1" t="s">
        <v>28</v>
      </c>
      <c r="K21" s="51">
        <f>+-(E6-D6)/E6</f>
        <v>-8.5974557999137557E-2</v>
      </c>
    </row>
    <row r="22" spans="2:11" x14ac:dyDescent="0.25">
      <c r="B22" s="7" t="s">
        <v>33</v>
      </c>
      <c r="C22" s="2"/>
      <c r="D22" s="2"/>
      <c r="E22" s="2"/>
      <c r="F22" s="2"/>
      <c r="G22" s="2"/>
    </row>
    <row r="23" spans="2:11" x14ac:dyDescent="0.25">
      <c r="B23" s="4" t="s">
        <v>62</v>
      </c>
      <c r="C23" s="22"/>
      <c r="D23" s="22">
        <f>+IS!C13/IS!C9</f>
        <v>0.3175423429087908</v>
      </c>
      <c r="E23" s="22">
        <f>+IS!D13/IS!D9</f>
        <v>0.33843300880853039</v>
      </c>
    </row>
    <row r="24" spans="2:11" x14ac:dyDescent="0.25">
      <c r="B24" s="4" t="s">
        <v>63</v>
      </c>
      <c r="C24" s="22"/>
      <c r="D24" s="22">
        <f>+D6/IS!C9</f>
        <v>-0.33318269344127011</v>
      </c>
      <c r="E24" s="22">
        <f>+E6/IS!D9</f>
        <v>-0.35836810384793694</v>
      </c>
    </row>
    <row r="25" spans="2:11" x14ac:dyDescent="0.25">
      <c r="B25" s="4" t="s">
        <v>64</v>
      </c>
      <c r="C25" s="22"/>
      <c r="D25" s="22">
        <f>+D42/IS!C9</f>
        <v>0.94907061736157505</v>
      </c>
      <c r="E25" s="22">
        <f>+E42/IS!D9</f>
        <v>0.7944483078349559</v>
      </c>
    </row>
    <row r="26" spans="2:11" x14ac:dyDescent="0.25">
      <c r="B26" s="4" t="s">
        <v>90</v>
      </c>
      <c r="C26" s="22"/>
      <c r="D26" s="22">
        <f>+IS!C11/IS!C9</f>
        <v>0.19505246197980117</v>
      </c>
      <c r="E26" s="22">
        <f>+IS!D11/IS!D9</f>
        <v>0.2066141245557101</v>
      </c>
    </row>
    <row r="27" spans="2:11" x14ac:dyDescent="0.25">
      <c r="B27" s="4" t="s">
        <v>91</v>
      </c>
      <c r="C27" s="22"/>
      <c r="D27" s="22">
        <f>+IS!C14/IS!C9</f>
        <v>0.20760796950524621</v>
      </c>
      <c r="E27" s="22">
        <f>+IS!D14/IS!D9</f>
        <v>0.18967315716272601</v>
      </c>
    </row>
    <row r="28" spans="2:11" x14ac:dyDescent="0.25">
      <c r="B28" s="4" t="s">
        <v>89</v>
      </c>
      <c r="C28" s="22"/>
      <c r="D28" s="22">
        <f>+BS!H12/IS!C9</f>
        <v>0.7386921837544701</v>
      </c>
      <c r="E28" s="22">
        <f>+BS!I12/IS!D9</f>
        <v>0.76771364549528665</v>
      </c>
    </row>
    <row r="29" spans="2:11" hidden="1" x14ac:dyDescent="0.25">
      <c r="B29" s="4" t="s">
        <v>112</v>
      </c>
      <c r="C29" s="22"/>
      <c r="D29" s="22">
        <f>+(IS!C29+IS!C14)/IS!C9</f>
        <v>0.32540181553817737</v>
      </c>
      <c r="E29" s="22">
        <f>+(IS!D29+IS!D14)/IS!D9</f>
        <v>0.30213645495286662</v>
      </c>
    </row>
    <row r="30" spans="2:11" x14ac:dyDescent="0.25">
      <c r="B30" s="4" t="s">
        <v>97</v>
      </c>
      <c r="C30" s="22"/>
      <c r="D30" s="22">
        <f>+IS!C29/IS!C9</f>
        <v>0.11779384603293119</v>
      </c>
      <c r="E30" s="22">
        <f>+IS!D29/IS!D9</f>
        <v>0.11246329779014062</v>
      </c>
    </row>
    <row r="32" spans="2:11" x14ac:dyDescent="0.25">
      <c r="B32" s="7" t="s">
        <v>34</v>
      </c>
      <c r="C32" s="2"/>
      <c r="D32" s="2"/>
      <c r="E32" s="2"/>
      <c r="F32" s="2"/>
      <c r="G32" s="2"/>
    </row>
    <row r="33" spans="2:9" hidden="1" x14ac:dyDescent="0.25">
      <c r="B33" s="4" t="s">
        <v>68</v>
      </c>
      <c r="D33" s="22">
        <f>+D45/D46</f>
        <v>2.1584385012750933</v>
      </c>
      <c r="E33" s="22">
        <f>+E45/E46</f>
        <v>0.9722342109049058</v>
      </c>
    </row>
    <row r="34" spans="2:9" x14ac:dyDescent="0.25">
      <c r="B34" s="4" t="s">
        <v>80</v>
      </c>
      <c r="D34" s="35">
        <f>+D45-BS!H7</f>
        <v>29940</v>
      </c>
      <c r="E34" s="35">
        <f>+E45-BS!I7</f>
        <v>15964</v>
      </c>
    </row>
    <row r="35" spans="2:9" x14ac:dyDescent="0.25">
      <c r="B35" s="4" t="s">
        <v>82</v>
      </c>
      <c r="D35" s="35">
        <f>+IS!C29+IS!C14</f>
        <v>16561</v>
      </c>
      <c r="E35" s="35">
        <f>+IS!D29+IS!D14</f>
        <v>15641</v>
      </c>
    </row>
    <row r="36" spans="2:9" hidden="1" x14ac:dyDescent="0.25">
      <c r="B36" s="4" t="s">
        <v>81</v>
      </c>
      <c r="D36" s="22">
        <f>+D34/D35</f>
        <v>1.8078618440915404</v>
      </c>
      <c r="E36" s="22">
        <f>+E34/E35</f>
        <v>1.0206508535259893</v>
      </c>
    </row>
    <row r="38" spans="2:9" x14ac:dyDescent="0.25">
      <c r="B38" s="5" t="s">
        <v>26</v>
      </c>
      <c r="H38" s="62" t="s">
        <v>108</v>
      </c>
      <c r="I38" s="62"/>
    </row>
    <row r="39" spans="2:9" x14ac:dyDescent="0.25">
      <c r="B39" s="7" t="s">
        <v>27</v>
      </c>
      <c r="C39" s="2"/>
      <c r="D39" s="6">
        <v>2024</v>
      </c>
      <c r="E39" s="6">
        <v>2025</v>
      </c>
      <c r="F39" s="6" t="s">
        <v>69</v>
      </c>
      <c r="G39" s="6" t="s">
        <v>71</v>
      </c>
      <c r="H39" s="6">
        <v>2024</v>
      </c>
      <c r="I39" s="6">
        <v>2025</v>
      </c>
    </row>
    <row r="40" spans="2:9" x14ac:dyDescent="0.25">
      <c r="B40" s="4" t="s">
        <v>28</v>
      </c>
      <c r="D40" s="14">
        <f>+D45+D46-D41</f>
        <v>10707</v>
      </c>
      <c r="E40" s="14">
        <f>+E45+E46-E41</f>
        <v>1384</v>
      </c>
      <c r="F40" s="21">
        <f>+E40-D40</f>
        <v>-9323</v>
      </c>
      <c r="G40" s="22">
        <f>+(E40-D40)/D40</f>
        <v>-0.87073876902960679</v>
      </c>
      <c r="H40" s="22">
        <f>+D40/D42</f>
        <v>0.22166783984100039</v>
      </c>
      <c r="I40" s="22">
        <f>+E40/E42</f>
        <v>3.3651858876164079E-2</v>
      </c>
    </row>
    <row r="41" spans="2:9" x14ac:dyDescent="0.25">
      <c r="B41" s="6" t="s">
        <v>29</v>
      </c>
      <c r="C41" s="2"/>
      <c r="D41" s="24">
        <f>+BS!H12</f>
        <v>37595</v>
      </c>
      <c r="E41" s="24">
        <f>+BS!I12</f>
        <v>39743</v>
      </c>
      <c r="F41" s="31">
        <f>+E41-D41</f>
        <v>2148</v>
      </c>
      <c r="G41" s="22">
        <f t="shared" ref="G41:G42" si="2">+(E41-D41)/D41</f>
        <v>5.7135257348051603E-2</v>
      </c>
      <c r="H41" s="22">
        <f>+D41/D42</f>
        <v>0.77833216015899964</v>
      </c>
      <c r="I41" s="22">
        <f>+E41/E42</f>
        <v>0.96634814112383594</v>
      </c>
    </row>
    <row r="42" spans="2:9" x14ac:dyDescent="0.25">
      <c r="B42" s="4" t="s">
        <v>30</v>
      </c>
      <c r="C42" s="4"/>
      <c r="D42" s="25">
        <f>SUM(D40:D41)</f>
        <v>48302</v>
      </c>
      <c r="E42" s="25">
        <f>SUM(E40:E41)</f>
        <v>41127</v>
      </c>
      <c r="F42" s="25">
        <f>+E42-D42</f>
        <v>-7175</v>
      </c>
      <c r="G42" s="22">
        <f t="shared" si="2"/>
        <v>-0.14854457372365534</v>
      </c>
      <c r="H42" s="22">
        <f>SUM(H40:H41)</f>
        <v>1</v>
      </c>
      <c r="I42" s="22">
        <f>SUM(I40:I41)</f>
        <v>1</v>
      </c>
    </row>
    <row r="44" spans="2:9" x14ac:dyDescent="0.25">
      <c r="B44" s="7" t="s">
        <v>31</v>
      </c>
      <c r="C44" s="2"/>
      <c r="D44" s="2"/>
      <c r="E44" s="2"/>
    </row>
    <row r="45" spans="2:9" x14ac:dyDescent="0.25">
      <c r="B45" s="4" t="s">
        <v>66</v>
      </c>
      <c r="D45" s="14">
        <f>+BS!H22+BS!H31+BS!H23+BS!H32+BS!H24+BS!H33</f>
        <v>33009</v>
      </c>
      <c r="E45" s="14">
        <f>+BS!I22+BS!I31+BS!I23+BS!I32</f>
        <v>20274</v>
      </c>
      <c r="F45" s="21">
        <f>+E45-D45</f>
        <v>-12735</v>
      </c>
      <c r="G45" s="22">
        <f>+(E45-D45)/D45</f>
        <v>-0.38580387167136238</v>
      </c>
      <c r="H45" s="22">
        <f>+D45/D47</f>
        <v>0.68338785143472325</v>
      </c>
      <c r="I45" s="22">
        <f>+E45/E47</f>
        <v>0.4929608286527099</v>
      </c>
    </row>
    <row r="46" spans="2:9" x14ac:dyDescent="0.25">
      <c r="B46" s="6" t="s">
        <v>65</v>
      </c>
      <c r="C46" s="2"/>
      <c r="D46" s="16">
        <f>+BS!H44</f>
        <v>15293</v>
      </c>
      <c r="E46" s="16">
        <f>+BS!I44</f>
        <v>20853</v>
      </c>
      <c r="F46" s="21">
        <f>+E46-D46</f>
        <v>5560</v>
      </c>
      <c r="G46" s="22">
        <f t="shared" ref="G46:G47" si="3">+(E46-D46)/D46</f>
        <v>0.3635650297521742</v>
      </c>
      <c r="H46" s="22">
        <f>+D46/D47</f>
        <v>0.31661214856527681</v>
      </c>
      <c r="I46" s="22">
        <f>+E46/E47</f>
        <v>0.50703917134729015</v>
      </c>
    </row>
    <row r="47" spans="2:9" x14ac:dyDescent="0.25">
      <c r="B47" s="4" t="s">
        <v>32</v>
      </c>
      <c r="C47" s="4"/>
      <c r="D47" s="20">
        <f>SUM(D45:D46)</f>
        <v>48302</v>
      </c>
      <c r="E47" s="20">
        <f>SUM(E45:E46)</f>
        <v>41127</v>
      </c>
      <c r="F47" s="25">
        <f>+E47-D47</f>
        <v>-7175</v>
      </c>
      <c r="G47" s="22">
        <f t="shared" si="3"/>
        <v>-0.14854457372365534</v>
      </c>
      <c r="H47" s="22">
        <f>SUM(H45:H46)</f>
        <v>1</v>
      </c>
      <c r="I47" s="22">
        <f>SUM(I45:I46)</f>
        <v>1</v>
      </c>
    </row>
    <row r="48" spans="2:9" x14ac:dyDescent="0.25">
      <c r="C48" s="4"/>
      <c r="D48" s="4"/>
      <c r="E48" s="20"/>
      <c r="F48" s="20"/>
    </row>
    <row r="49" spans="2:10" x14ac:dyDescent="0.25">
      <c r="B49" s="7" t="s">
        <v>23</v>
      </c>
      <c r="C49" s="2"/>
      <c r="D49" s="2"/>
      <c r="E49" s="6">
        <v>2024</v>
      </c>
      <c r="F49" s="6">
        <v>2025</v>
      </c>
      <c r="J49" s="3"/>
    </row>
    <row r="50" spans="2:10" x14ac:dyDescent="0.25">
      <c r="B50" s="4" t="s">
        <v>24</v>
      </c>
      <c r="C50" s="23"/>
      <c r="D50" s="3"/>
      <c r="E50" s="3">
        <f>+BS!H8/(IS!C9/365)</f>
        <v>23.121782528392345</v>
      </c>
      <c r="F50" s="3">
        <f>+BS!I8/(IS!D9/365)</f>
        <v>20.094459898006491</v>
      </c>
    </row>
    <row r="51" spans="2:10" x14ac:dyDescent="0.25">
      <c r="B51" s="4" t="s">
        <v>25</v>
      </c>
      <c r="C51" s="23"/>
      <c r="D51" s="3"/>
      <c r="E51" s="3">
        <f>+BS!H25/(IS!C11/365)</f>
        <v>170.97310365669387</v>
      </c>
      <c r="F51" s="3">
        <f>+BS!I25/(IS!D11/365)</f>
        <v>178.33676140613312</v>
      </c>
    </row>
    <row r="52" spans="2:10" x14ac:dyDescent="0.25">
      <c r="C52" s="23"/>
      <c r="D52" s="3"/>
      <c r="E52" s="3"/>
    </row>
    <row r="53" spans="2:10" x14ac:dyDescent="0.25">
      <c r="C53" s="23"/>
      <c r="D53" s="3"/>
      <c r="E53" s="3">
        <v>2024</v>
      </c>
      <c r="F53" s="1">
        <v>2025</v>
      </c>
    </row>
    <row r="54" spans="2:10" x14ac:dyDescent="0.25">
      <c r="B54" s="9" t="s">
        <v>195</v>
      </c>
      <c r="C54" s="48"/>
      <c r="D54" s="49"/>
      <c r="E54" s="49"/>
      <c r="F54" s="50"/>
    </row>
    <row r="55" spans="2:10" x14ac:dyDescent="0.25">
      <c r="B55" s="1" t="s">
        <v>197</v>
      </c>
      <c r="E55" s="21">
        <f>+CF!C23</f>
        <v>8025</v>
      </c>
      <c r="F55" s="21">
        <f>+CF!D23</f>
        <v>8342</v>
      </c>
    </row>
    <row r="56" spans="2:10" x14ac:dyDescent="0.25">
      <c r="B56" s="1" t="s">
        <v>196</v>
      </c>
      <c r="E56" s="21">
        <f>+CF!C26+CF!C27</f>
        <v>-5140</v>
      </c>
      <c r="F56" s="21">
        <f>+CF!D26+CF!D27</f>
        <v>-4499</v>
      </c>
    </row>
    <row r="57" spans="2:10" x14ac:dyDescent="0.25">
      <c r="B57" s="4" t="s">
        <v>198</v>
      </c>
      <c r="E57" s="25">
        <f>+E55+E56</f>
        <v>2885</v>
      </c>
      <c r="F57" s="25">
        <f>+F55+F56</f>
        <v>3843</v>
      </c>
    </row>
    <row r="65" spans="2:5" x14ac:dyDescent="0.25">
      <c r="B65" s="4"/>
      <c r="C65" s="4"/>
      <c r="D65" s="20"/>
      <c r="E65" s="20"/>
    </row>
  </sheetData>
  <mergeCells count="2">
    <mergeCell ref="F3:G3"/>
    <mergeCell ref="H38:I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7CD49-7AFA-4E70-94B7-E6BBE4883E1A}">
  <dimension ref="B1:I15"/>
  <sheetViews>
    <sheetView tabSelected="1" workbookViewId="0"/>
  </sheetViews>
  <sheetFormatPr defaultRowHeight="15" x14ac:dyDescent="0.25"/>
  <cols>
    <col min="1" max="1" width="2" style="52" customWidth="1"/>
    <col min="2" max="2" width="33.7109375" style="52" customWidth="1"/>
    <col min="3" max="3" width="25.7109375" style="52" bestFit="1" customWidth="1"/>
    <col min="4" max="4" width="30.5703125" style="52" customWidth="1"/>
    <col min="5" max="5" width="24.85546875" style="52" bestFit="1" customWidth="1"/>
    <col min="6" max="6" width="18" style="52" bestFit="1" customWidth="1"/>
    <col min="7" max="7" width="9.140625" style="52"/>
    <col min="8" max="8" width="24.85546875" style="52" bestFit="1" customWidth="1"/>
    <col min="9" max="9" width="19" style="52" bestFit="1" customWidth="1"/>
    <col min="10" max="16384" width="9.140625" style="52"/>
  </cols>
  <sheetData>
    <row r="1" spans="2:9" x14ac:dyDescent="0.25">
      <c r="B1" s="53"/>
    </row>
    <row r="2" spans="2:9" x14ac:dyDescent="0.25">
      <c r="B2" s="53" t="s">
        <v>200</v>
      </c>
      <c r="C2" s="52" t="s">
        <v>201</v>
      </c>
    </row>
    <row r="3" spans="2:9" x14ac:dyDescent="0.25">
      <c r="B3" s="53" t="s">
        <v>202</v>
      </c>
      <c r="C3" s="52" t="s">
        <v>203</v>
      </c>
    </row>
    <row r="4" spans="2:9" x14ac:dyDescent="0.25">
      <c r="B4" s="53"/>
    </row>
    <row r="5" spans="2:9" x14ac:dyDescent="0.25">
      <c r="B5" s="55" t="s">
        <v>204</v>
      </c>
      <c r="C5" s="56"/>
    </row>
    <row r="6" spans="2:9" x14ac:dyDescent="0.25">
      <c r="B6" s="53"/>
    </row>
    <row r="7" spans="2:9" x14ac:dyDescent="0.25">
      <c r="B7" s="53" t="s">
        <v>212</v>
      </c>
    </row>
    <row r="8" spans="2:9" x14ac:dyDescent="0.25">
      <c r="B8" s="53"/>
    </row>
    <row r="9" spans="2:9" x14ac:dyDescent="0.25">
      <c r="B9" s="55" t="s">
        <v>215</v>
      </c>
      <c r="C9" s="56"/>
      <c r="E9" s="55" t="s">
        <v>213</v>
      </c>
      <c r="F9" s="56"/>
      <c r="H9" s="55" t="s">
        <v>214</v>
      </c>
      <c r="I9" s="56"/>
    </row>
    <row r="10" spans="2:9" x14ac:dyDescent="0.25">
      <c r="B10" s="53" t="s">
        <v>207</v>
      </c>
      <c r="C10" s="54">
        <v>0.02</v>
      </c>
      <c r="E10" s="53" t="s">
        <v>207</v>
      </c>
      <c r="F10" s="54">
        <v>0.01</v>
      </c>
      <c r="H10" s="53" t="s">
        <v>207</v>
      </c>
      <c r="I10" s="54">
        <v>0.01</v>
      </c>
    </row>
    <row r="11" spans="2:9" x14ac:dyDescent="0.25">
      <c r="B11" s="53" t="s">
        <v>205</v>
      </c>
      <c r="C11" s="59">
        <v>0.6</v>
      </c>
      <c r="E11" s="53" t="s">
        <v>205</v>
      </c>
      <c r="F11" s="59">
        <v>0.5</v>
      </c>
      <c r="H11" s="53" t="s">
        <v>205</v>
      </c>
      <c r="I11" s="59">
        <v>0.4</v>
      </c>
    </row>
    <row r="12" spans="2:9" x14ac:dyDescent="0.25">
      <c r="B12" s="55" t="s">
        <v>206</v>
      </c>
      <c r="C12" s="57">
        <v>30000000</v>
      </c>
      <c r="E12" s="55" t="s">
        <v>206</v>
      </c>
      <c r="F12" s="57">
        <v>25000000</v>
      </c>
      <c r="H12" s="55" t="s">
        <v>206</v>
      </c>
      <c r="I12" s="57">
        <v>20000000</v>
      </c>
    </row>
    <row r="13" spans="2:9" x14ac:dyDescent="0.25">
      <c r="B13" s="53" t="s">
        <v>209</v>
      </c>
      <c r="C13" s="58">
        <f>+C10*C11*C12</f>
        <v>360000</v>
      </c>
      <c r="E13" s="53" t="s">
        <v>209</v>
      </c>
      <c r="F13" s="58">
        <f>+F10*F11*F12</f>
        <v>125000</v>
      </c>
      <c r="H13" s="53" t="s">
        <v>209</v>
      </c>
      <c r="I13" s="58">
        <f>+I10*I11*I12</f>
        <v>80000</v>
      </c>
    </row>
    <row r="15" spans="2:9" x14ac:dyDescent="0.25">
      <c r="B15" s="53" t="s">
        <v>211</v>
      </c>
      <c r="C15" s="60">
        <f>+C13/C12</f>
        <v>1.2E-2</v>
      </c>
      <c r="E15" s="53" t="s">
        <v>211</v>
      </c>
      <c r="F15" s="60">
        <f>+F13/F12</f>
        <v>5.0000000000000001E-3</v>
      </c>
      <c r="H15" s="53" t="s">
        <v>211</v>
      </c>
      <c r="I15" s="60">
        <f>+I13/I12</f>
        <v>4.0000000000000001E-3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E6ED5-7AAC-4C54-9914-8D1928D2B7E3}">
  <dimension ref="B1:F55"/>
  <sheetViews>
    <sheetView topLeftCell="A25" workbookViewId="0">
      <selection activeCell="F32" sqref="F32"/>
    </sheetView>
  </sheetViews>
  <sheetFormatPr defaultRowHeight="15" x14ac:dyDescent="0.25"/>
  <cols>
    <col min="1" max="1" width="3" style="1" customWidth="1"/>
    <col min="2" max="2" width="16.42578125" style="1" bestFit="1" customWidth="1"/>
    <col min="3" max="3" width="20.85546875" style="1" customWidth="1"/>
    <col min="4" max="4" width="25.7109375" style="1" bestFit="1" customWidth="1"/>
    <col min="5" max="5" width="32.7109375" style="1" bestFit="1" customWidth="1"/>
    <col min="6" max="6" width="25.7109375" style="1" bestFit="1" customWidth="1"/>
    <col min="7" max="16384" width="9.140625" style="1"/>
  </cols>
  <sheetData>
    <row r="1" spans="2:6" hidden="1" x14ac:dyDescent="0.25"/>
    <row r="2" spans="2:6" hidden="1" x14ac:dyDescent="0.25">
      <c r="B2" s="61" t="s">
        <v>79</v>
      </c>
      <c r="C2" s="61"/>
      <c r="D2" s="61"/>
      <c r="E2" s="61"/>
      <c r="F2" s="61"/>
    </row>
    <row r="3" spans="2:6" hidden="1" x14ac:dyDescent="0.25">
      <c r="B3" s="9" t="s">
        <v>39</v>
      </c>
      <c r="C3" s="9" t="s">
        <v>42</v>
      </c>
      <c r="D3" s="9" t="s">
        <v>47</v>
      </c>
      <c r="E3" s="9" t="s">
        <v>44</v>
      </c>
      <c r="F3" s="12"/>
    </row>
    <row r="4" spans="2:6" hidden="1" x14ac:dyDescent="0.25">
      <c r="B4" s="7" t="s">
        <v>40</v>
      </c>
      <c r="C4" s="6" t="s">
        <v>43</v>
      </c>
      <c r="D4" s="6" t="s">
        <v>46</v>
      </c>
      <c r="E4" s="6" t="s">
        <v>45</v>
      </c>
      <c r="F4" s="13" t="s">
        <v>84</v>
      </c>
    </row>
    <row r="5" spans="2:6" hidden="1" x14ac:dyDescent="0.25">
      <c r="B5" s="5" t="s">
        <v>77</v>
      </c>
      <c r="F5" s="12"/>
    </row>
    <row r="6" spans="2:6" hidden="1" x14ac:dyDescent="0.25">
      <c r="B6" s="1" t="s">
        <v>53</v>
      </c>
      <c r="C6" s="21" t="e">
        <f>+#REF!</f>
        <v>#REF!</v>
      </c>
      <c r="D6" s="21" t="e">
        <f>+#REF!</f>
        <v>#REF!</v>
      </c>
      <c r="E6" s="21" t="e">
        <f>+#REF!</f>
        <v>#REF!</v>
      </c>
      <c r="F6" s="40" t="e">
        <f>+AVERAGE(C6:E6)</f>
        <v>#REF!</v>
      </c>
    </row>
    <row r="7" spans="2:6" hidden="1" x14ac:dyDescent="0.25">
      <c r="B7" s="1" t="s">
        <v>72</v>
      </c>
      <c r="C7" s="26" t="e">
        <f>+#REF!</f>
        <v>#REF!</v>
      </c>
      <c r="D7" s="26" t="e">
        <f>+#REF!</f>
        <v>#REF!</v>
      </c>
      <c r="E7" s="26" t="e">
        <f>+#REF!</f>
        <v>#REF!</v>
      </c>
      <c r="F7" s="41" t="e">
        <f>+AVERAGE(C7:E7)</f>
        <v>#REF!</v>
      </c>
    </row>
    <row r="8" spans="2:6" hidden="1" x14ac:dyDescent="0.25">
      <c r="B8" s="1" t="s">
        <v>73</v>
      </c>
      <c r="C8" s="21" t="e">
        <f>+#REF!</f>
        <v>#REF!</v>
      </c>
      <c r="D8" s="21" t="e">
        <f>+#REF!</f>
        <v>#REF!</v>
      </c>
      <c r="E8" s="21" t="e">
        <f>+#REF!</f>
        <v>#REF!</v>
      </c>
      <c r="F8" s="40" t="e">
        <f>+AVERAGE(C8:E8)</f>
        <v>#REF!</v>
      </c>
    </row>
    <row r="9" spans="2:6" hidden="1" x14ac:dyDescent="0.25">
      <c r="B9" s="5" t="s">
        <v>92</v>
      </c>
      <c r="F9" s="40"/>
    </row>
    <row r="10" spans="2:6" hidden="1" x14ac:dyDescent="0.25">
      <c r="B10" s="1" t="s">
        <v>38</v>
      </c>
      <c r="C10" s="21" t="e">
        <f>+#REF!</f>
        <v>#REF!</v>
      </c>
      <c r="D10" s="21" t="e">
        <f>+#REF!</f>
        <v>#REF!</v>
      </c>
      <c r="E10" s="21" t="e">
        <f>+#REF!</f>
        <v>#REF!</v>
      </c>
      <c r="F10" s="40" t="e">
        <f t="shared" ref="F10:F17" si="0">+AVERAGE(C10:E10)</f>
        <v>#REF!</v>
      </c>
    </row>
    <row r="11" spans="2:6" hidden="1" x14ac:dyDescent="0.25">
      <c r="B11" s="1" t="s">
        <v>62</v>
      </c>
      <c r="C11" s="26" t="e">
        <f>+#REF!</f>
        <v>#REF!</v>
      </c>
      <c r="D11" s="26" t="e">
        <f>+#REF!</f>
        <v>#REF!</v>
      </c>
      <c r="E11" s="26" t="e">
        <f>+#REF!</f>
        <v>#REF!</v>
      </c>
      <c r="F11" s="41" t="e">
        <f t="shared" si="0"/>
        <v>#REF!</v>
      </c>
    </row>
    <row r="12" spans="2:6" hidden="1" x14ac:dyDescent="0.25">
      <c r="B12" s="1" t="s">
        <v>13</v>
      </c>
      <c r="C12" s="17">
        <v>1689633000</v>
      </c>
      <c r="D12" s="17">
        <v>3434877000</v>
      </c>
      <c r="E12" s="17">
        <v>1565635000</v>
      </c>
      <c r="F12" s="15">
        <f t="shared" si="0"/>
        <v>2230048333.3333335</v>
      </c>
    </row>
    <row r="13" spans="2:6" hidden="1" x14ac:dyDescent="0.25">
      <c r="B13" s="1" t="s">
        <v>90</v>
      </c>
      <c r="C13" s="26" t="e">
        <f>+C12/C6</f>
        <v>#REF!</v>
      </c>
      <c r="D13" s="26" t="e">
        <f>+D12/D6</f>
        <v>#REF!</v>
      </c>
      <c r="E13" s="26" t="e">
        <f>+E12/E6</f>
        <v>#REF!</v>
      </c>
      <c r="F13" s="41" t="e">
        <f t="shared" si="0"/>
        <v>#REF!</v>
      </c>
    </row>
    <row r="14" spans="2:6" hidden="1" x14ac:dyDescent="0.25">
      <c r="B14" s="1" t="s">
        <v>28</v>
      </c>
      <c r="C14" s="17" t="e">
        <f>+#REF!</f>
        <v>#REF!</v>
      </c>
      <c r="D14" s="17" t="e">
        <f>+#REF!</f>
        <v>#REF!</v>
      </c>
      <c r="E14" s="17" t="e">
        <f>+#REF!</f>
        <v>#REF!</v>
      </c>
      <c r="F14" s="15" t="e">
        <f t="shared" si="0"/>
        <v>#REF!</v>
      </c>
    </row>
    <row r="15" spans="2:6" hidden="1" x14ac:dyDescent="0.25">
      <c r="B15" s="1" t="s">
        <v>63</v>
      </c>
      <c r="C15" s="26" t="e">
        <f>+C14/C6</f>
        <v>#REF!</v>
      </c>
      <c r="D15" s="26" t="e">
        <f>+D14/D6</f>
        <v>#REF!</v>
      </c>
      <c r="E15" s="26" t="e">
        <f>+E14/E6</f>
        <v>#REF!</v>
      </c>
      <c r="F15" s="41" t="e">
        <f t="shared" si="0"/>
        <v>#REF!</v>
      </c>
    </row>
    <row r="16" spans="2:6" hidden="1" x14ac:dyDescent="0.25">
      <c r="B16" s="1" t="s">
        <v>93</v>
      </c>
      <c r="C16" s="17" t="e">
        <f>+#REF!</f>
        <v>#REF!</v>
      </c>
      <c r="D16" s="17" t="e">
        <f>+#REF!</f>
        <v>#REF!</v>
      </c>
      <c r="E16" s="17" t="e">
        <f>+#REF!</f>
        <v>#REF!</v>
      </c>
      <c r="F16" s="15" t="e">
        <f t="shared" si="0"/>
        <v>#REF!</v>
      </c>
    </row>
    <row r="17" spans="2:6" hidden="1" x14ac:dyDescent="0.25">
      <c r="B17" s="1" t="s">
        <v>64</v>
      </c>
      <c r="C17" s="26" t="e">
        <f>+C16/C6</f>
        <v>#REF!</v>
      </c>
      <c r="D17" s="26" t="e">
        <f>+D16/D6</f>
        <v>#REF!</v>
      </c>
      <c r="E17" s="26" t="e">
        <f>+E16/E6</f>
        <v>#REF!</v>
      </c>
      <c r="F17" s="41" t="e">
        <f t="shared" si="0"/>
        <v>#REF!</v>
      </c>
    </row>
    <row r="18" spans="2:6" hidden="1" x14ac:dyDescent="0.25">
      <c r="B18" s="5" t="s">
        <v>78</v>
      </c>
      <c r="F18" s="41"/>
    </row>
    <row r="19" spans="2:6" hidden="1" x14ac:dyDescent="0.25">
      <c r="B19" s="1" t="s">
        <v>74</v>
      </c>
      <c r="C19" s="26" t="e">
        <f>+#REF!</f>
        <v>#REF!</v>
      </c>
      <c r="D19" s="26" t="e">
        <f>+#REF!</f>
        <v>#REF!</v>
      </c>
      <c r="E19" s="26" t="e">
        <f>+#REF!</f>
        <v>#REF!</v>
      </c>
      <c r="F19" s="41" t="e">
        <f>+AVERAGE(C19:E19)</f>
        <v>#REF!</v>
      </c>
    </row>
    <row r="20" spans="2:6" hidden="1" x14ac:dyDescent="0.25">
      <c r="B20" s="1" t="s">
        <v>75</v>
      </c>
      <c r="C20" s="26" t="e">
        <f>+#REF!</f>
        <v>#REF!</v>
      </c>
      <c r="D20" s="26" t="e">
        <f>+#REF!</f>
        <v>#REF!</v>
      </c>
      <c r="E20" s="26" t="e">
        <f>+#REF!</f>
        <v>#REF!</v>
      </c>
      <c r="F20" s="41" t="e">
        <f>+AVERAGE(C20:E20)</f>
        <v>#REF!</v>
      </c>
    </row>
    <row r="21" spans="2:6" hidden="1" x14ac:dyDescent="0.25">
      <c r="B21" s="1" t="s">
        <v>76</v>
      </c>
      <c r="C21" s="26" t="e">
        <f>+#REF!</f>
        <v>#REF!</v>
      </c>
      <c r="D21" s="26" t="e">
        <f>+#REF!</f>
        <v>#REF!</v>
      </c>
      <c r="E21" s="26" t="e">
        <f>+#REF!</f>
        <v>#REF!</v>
      </c>
      <c r="F21" s="41" t="e">
        <f>+AVERAGE(C21:E21)</f>
        <v>#REF!</v>
      </c>
    </row>
    <row r="22" spans="2:6" hidden="1" x14ac:dyDescent="0.25">
      <c r="B22" s="7" t="s">
        <v>83</v>
      </c>
      <c r="C22" s="33"/>
      <c r="D22" s="33"/>
      <c r="E22" s="33"/>
      <c r="F22" s="34"/>
    </row>
    <row r="23" spans="2:6" hidden="1" x14ac:dyDescent="0.25">
      <c r="B23" s="2" t="s">
        <v>17</v>
      </c>
      <c r="C23" s="39" t="e">
        <f>+#REF!</f>
        <v>#REF!</v>
      </c>
      <c r="D23" s="39" t="e">
        <f>+#REF!</f>
        <v>#REF!</v>
      </c>
      <c r="E23" s="39" t="e">
        <f>+#REF!</f>
        <v>#REF!</v>
      </c>
      <c r="F23" s="39" t="e">
        <f>+#REF!</f>
        <v>#REF!</v>
      </c>
    </row>
    <row r="24" spans="2:6" hidden="1" x14ac:dyDescent="0.25">
      <c r="C24" s="3"/>
      <c r="D24" s="3"/>
      <c r="E24" s="3"/>
      <c r="F24" s="3"/>
    </row>
    <row r="25" spans="2:6" s="36" customFormat="1" x14ac:dyDescent="0.25">
      <c r="B25" s="63" t="s">
        <v>96</v>
      </c>
      <c r="C25" s="63"/>
      <c r="D25" s="63"/>
      <c r="E25" s="63"/>
      <c r="F25" s="63"/>
    </row>
    <row r="26" spans="2:6" x14ac:dyDescent="0.25">
      <c r="F26" s="4" t="s">
        <v>41</v>
      </c>
    </row>
    <row r="27" spans="2:6" x14ac:dyDescent="0.25">
      <c r="B27" s="1" t="s">
        <v>37</v>
      </c>
      <c r="C27" s="1">
        <v>0.25</v>
      </c>
      <c r="F27" s="1" t="s">
        <v>94</v>
      </c>
    </row>
    <row r="28" spans="2:6" s="36" customFormat="1" x14ac:dyDescent="0.25">
      <c r="B28" s="42" t="s">
        <v>109</v>
      </c>
    </row>
    <row r="29" spans="2:6" x14ac:dyDescent="0.25">
      <c r="C29" s="4">
        <v>2023</v>
      </c>
      <c r="D29" s="4">
        <v>2024</v>
      </c>
      <c r="E29" s="4" t="s">
        <v>84</v>
      </c>
      <c r="F29" s="4" t="s">
        <v>41</v>
      </c>
    </row>
    <row r="30" spans="2:6" x14ac:dyDescent="0.25">
      <c r="B30" s="1" t="s">
        <v>53</v>
      </c>
      <c r="C30" s="21">
        <f>+IS!C9</f>
        <v>50894</v>
      </c>
      <c r="D30" s="21">
        <f>+IS!D9</f>
        <v>51768</v>
      </c>
      <c r="E30" s="35">
        <f t="shared" ref="E30:E36" si="1">+AVERAGE(C30:D30)</f>
        <v>51331</v>
      </c>
      <c r="F30" s="1" t="s">
        <v>99</v>
      </c>
    </row>
    <row r="31" spans="2:6" x14ac:dyDescent="0.25">
      <c r="B31" s="1" t="s">
        <v>97</v>
      </c>
      <c r="C31" s="26">
        <f>+'Análisis Financiero'!D30</f>
        <v>0.11779384603293119</v>
      </c>
      <c r="D31" s="26">
        <f>+'Análisis Financiero'!E30</f>
        <v>0.11246329779014062</v>
      </c>
      <c r="E31" s="22">
        <f t="shared" si="1"/>
        <v>0.11512857191153592</v>
      </c>
      <c r="F31" s="1" t="s">
        <v>101</v>
      </c>
    </row>
    <row r="32" spans="2:6" x14ac:dyDescent="0.25">
      <c r="B32" s="1" t="s">
        <v>112</v>
      </c>
      <c r="C32" s="26">
        <f>+'Análisis Financiero'!D29</f>
        <v>0.32540181553817737</v>
      </c>
      <c r="D32" s="26">
        <f>+'Análisis Financiero'!E29</f>
        <v>0.30213645495286662</v>
      </c>
      <c r="E32" s="22">
        <f t="shared" si="1"/>
        <v>0.31376913524552197</v>
      </c>
      <c r="F32" s="1" t="s">
        <v>102</v>
      </c>
    </row>
    <row r="33" spans="2:6" x14ac:dyDescent="0.25">
      <c r="B33" s="1" t="s">
        <v>62</v>
      </c>
      <c r="C33" s="26">
        <f>+'Análisis Financiero'!D23</f>
        <v>0.3175423429087908</v>
      </c>
      <c r="D33" s="26">
        <f>+'Análisis Financiero'!E23</f>
        <v>0.33843300880853039</v>
      </c>
      <c r="E33" s="22">
        <f t="shared" si="1"/>
        <v>0.32798767585866062</v>
      </c>
      <c r="F33" s="1" t="s">
        <v>103</v>
      </c>
    </row>
    <row r="34" spans="2:6" x14ac:dyDescent="0.25">
      <c r="B34" s="1" t="s">
        <v>88</v>
      </c>
      <c r="C34" s="26">
        <f>+'Análisis Financiero'!D27</f>
        <v>0.20760796950524621</v>
      </c>
      <c r="D34" s="26">
        <f>+'Análisis Financiero'!E27</f>
        <v>0.18967315716272601</v>
      </c>
      <c r="E34" s="22">
        <f t="shared" si="1"/>
        <v>0.19864056333398611</v>
      </c>
      <c r="F34" s="1" t="s">
        <v>103</v>
      </c>
    </row>
    <row r="35" spans="2:6" x14ac:dyDescent="0.25">
      <c r="B35" s="1" t="s">
        <v>63</v>
      </c>
      <c r="C35" s="26">
        <f>+'Análisis Financiero'!D24</f>
        <v>-0.33318269344127011</v>
      </c>
      <c r="D35" s="26">
        <f>+'Análisis Financiero'!E24</f>
        <v>-0.35836810384793694</v>
      </c>
      <c r="E35" s="22">
        <f t="shared" si="1"/>
        <v>-0.34577539864460349</v>
      </c>
      <c r="F35" s="1" t="s">
        <v>104</v>
      </c>
    </row>
    <row r="36" spans="2:6" x14ac:dyDescent="0.25">
      <c r="B36" s="1" t="s">
        <v>89</v>
      </c>
      <c r="C36" s="26">
        <f>+'Análisis Financiero'!D28</f>
        <v>0.7386921837544701</v>
      </c>
      <c r="D36" s="26">
        <f>+'Análisis Financiero'!E28</f>
        <v>0.76771364549528665</v>
      </c>
      <c r="E36" s="22">
        <f t="shared" si="1"/>
        <v>0.75320291462487843</v>
      </c>
      <c r="F36" s="1" t="s">
        <v>107</v>
      </c>
    </row>
    <row r="37" spans="2:6" s="36" customFormat="1" x14ac:dyDescent="0.25">
      <c r="B37" s="42" t="s">
        <v>110</v>
      </c>
    </row>
    <row r="38" spans="2:6" x14ac:dyDescent="0.25">
      <c r="C38" s="4">
        <v>2023</v>
      </c>
      <c r="D38" s="4">
        <v>2024</v>
      </c>
      <c r="E38" s="4" t="s">
        <v>84</v>
      </c>
      <c r="F38" s="4" t="s">
        <v>41</v>
      </c>
    </row>
    <row r="39" spans="2:6" x14ac:dyDescent="0.25">
      <c r="B39" s="1" t="s">
        <v>53</v>
      </c>
      <c r="C39" s="21">
        <f>+C30</f>
        <v>50894</v>
      </c>
      <c r="D39" s="21">
        <f>+D30</f>
        <v>51768</v>
      </c>
      <c r="E39" s="35">
        <f>+E30</f>
        <v>51331</v>
      </c>
      <c r="F39" s="1" t="s">
        <v>113</v>
      </c>
    </row>
    <row r="40" spans="2:6" x14ac:dyDescent="0.25">
      <c r="B40" s="1" t="s">
        <v>97</v>
      </c>
      <c r="C40" s="26">
        <f t="shared" ref="C40:C45" si="2">+C31</f>
        <v>0.11779384603293119</v>
      </c>
      <c r="D40" s="26">
        <f>+'Análisis Financiero'!E30</f>
        <v>0.11246329779014062</v>
      </c>
      <c r="E40" s="22">
        <f t="shared" ref="E40:E45" si="3">+E31</f>
        <v>0.11512857191153592</v>
      </c>
      <c r="F40" s="1" t="s">
        <v>100</v>
      </c>
    </row>
    <row r="41" spans="2:6" x14ac:dyDescent="0.25">
      <c r="B41" s="1" t="s">
        <v>112</v>
      </c>
      <c r="C41" s="26">
        <f t="shared" si="2"/>
        <v>0.32540181553817737</v>
      </c>
      <c r="D41" s="26">
        <f>+D32</f>
        <v>0.30213645495286662</v>
      </c>
      <c r="E41" s="22">
        <f t="shared" si="3"/>
        <v>0.31376913524552197</v>
      </c>
      <c r="F41" s="1" t="s">
        <v>100</v>
      </c>
    </row>
    <row r="42" spans="2:6" x14ac:dyDescent="0.25">
      <c r="B42" s="1" t="s">
        <v>62</v>
      </c>
      <c r="C42" s="26">
        <f t="shared" si="2"/>
        <v>0.3175423429087908</v>
      </c>
      <c r="D42" s="26">
        <f>+D33</f>
        <v>0.33843300880853039</v>
      </c>
      <c r="E42" s="22">
        <f t="shared" si="3"/>
        <v>0.32798767585866062</v>
      </c>
      <c r="F42" s="1" t="s">
        <v>103</v>
      </c>
    </row>
    <row r="43" spans="2:6" x14ac:dyDescent="0.25">
      <c r="B43" s="1" t="s">
        <v>88</v>
      </c>
      <c r="C43" s="26">
        <f t="shared" si="2"/>
        <v>0.20760796950524621</v>
      </c>
      <c r="D43" s="26">
        <f>+D34</f>
        <v>0.18967315716272601</v>
      </c>
      <c r="E43" s="22">
        <f t="shared" si="3"/>
        <v>0.19864056333398611</v>
      </c>
      <c r="F43" s="1" t="s">
        <v>103</v>
      </c>
    </row>
    <row r="44" spans="2:6" x14ac:dyDescent="0.25">
      <c r="B44" s="1" t="s">
        <v>63</v>
      </c>
      <c r="C44" s="26">
        <f t="shared" si="2"/>
        <v>-0.33318269344127011</v>
      </c>
      <c r="D44" s="26">
        <f>+D35</f>
        <v>-0.35836810384793694</v>
      </c>
      <c r="E44" s="26">
        <f t="shared" si="3"/>
        <v>-0.34577539864460349</v>
      </c>
      <c r="F44" s="1" t="s">
        <v>103</v>
      </c>
    </row>
    <row r="45" spans="2:6" x14ac:dyDescent="0.25">
      <c r="B45" s="1" t="s">
        <v>89</v>
      </c>
      <c r="C45" s="26">
        <f t="shared" si="2"/>
        <v>0.7386921837544701</v>
      </c>
      <c r="D45" s="26">
        <f>+D36</f>
        <v>0.76771364549528665</v>
      </c>
      <c r="E45" s="22">
        <f t="shared" si="3"/>
        <v>0.75320291462487843</v>
      </c>
      <c r="F45" s="1" t="s">
        <v>103</v>
      </c>
    </row>
    <row r="46" spans="2:6" s="36" customFormat="1" x14ac:dyDescent="0.25">
      <c r="B46" s="42" t="s">
        <v>111</v>
      </c>
    </row>
    <row r="47" spans="2:6" x14ac:dyDescent="0.25">
      <c r="C47" s="4">
        <v>2023</v>
      </c>
      <c r="D47" s="4">
        <v>2024</v>
      </c>
      <c r="E47" s="4" t="s">
        <v>84</v>
      </c>
      <c r="F47" s="4" t="s">
        <v>41</v>
      </c>
    </row>
    <row r="48" spans="2:6" x14ac:dyDescent="0.25">
      <c r="B48" s="1" t="s">
        <v>53</v>
      </c>
      <c r="C48" s="21">
        <f>+C39</f>
        <v>50894</v>
      </c>
      <c r="D48" s="21">
        <f>+D39</f>
        <v>51768</v>
      </c>
      <c r="E48" s="35">
        <f>+E39</f>
        <v>51331</v>
      </c>
      <c r="F48" s="1" t="s">
        <v>98</v>
      </c>
    </row>
    <row r="49" spans="2:6" x14ac:dyDescent="0.25">
      <c r="B49" s="1" t="s">
        <v>97</v>
      </c>
      <c r="C49" s="26">
        <f>+'Análisis Financiero'!D30</f>
        <v>0.11779384603293119</v>
      </c>
      <c r="D49" s="26">
        <f>+'Análisis Financiero'!E30</f>
        <v>0.11246329779014062</v>
      </c>
      <c r="E49" s="22">
        <f>+E40</f>
        <v>0.11512857191153592</v>
      </c>
      <c r="F49" s="1" t="s">
        <v>101</v>
      </c>
    </row>
    <row r="50" spans="2:6" x14ac:dyDescent="0.25">
      <c r="B50" s="1" t="s">
        <v>112</v>
      </c>
      <c r="C50" s="26">
        <f>+C32</f>
        <v>0.32540181553817737</v>
      </c>
      <c r="D50" s="26">
        <f>+D32</f>
        <v>0.30213645495286662</v>
      </c>
      <c r="E50" s="22">
        <f>+E41</f>
        <v>0.31376913524552197</v>
      </c>
      <c r="F50" s="1" t="s">
        <v>101</v>
      </c>
    </row>
    <row r="51" spans="2:6" x14ac:dyDescent="0.25">
      <c r="B51" s="1" t="s">
        <v>62</v>
      </c>
      <c r="C51" s="26">
        <f>+C42</f>
        <v>0.3175423429087908</v>
      </c>
      <c r="D51" s="26">
        <f>+D42</f>
        <v>0.33843300880853039</v>
      </c>
      <c r="E51" s="22">
        <f>+E42</f>
        <v>0.32798767585866062</v>
      </c>
      <c r="F51" s="1" t="s">
        <v>103</v>
      </c>
    </row>
    <row r="52" spans="2:6" x14ac:dyDescent="0.25">
      <c r="B52" s="1" t="s">
        <v>88</v>
      </c>
      <c r="C52" s="26">
        <f>+C43</f>
        <v>0.20760796950524621</v>
      </c>
      <c r="D52" s="26">
        <f>+D43</f>
        <v>0.18967315716272601</v>
      </c>
      <c r="E52" s="22">
        <f>+E43</f>
        <v>0.19864056333398611</v>
      </c>
      <c r="F52" s="1" t="s">
        <v>103</v>
      </c>
    </row>
    <row r="53" spans="2:6" x14ac:dyDescent="0.25">
      <c r="B53" s="1" t="s">
        <v>63</v>
      </c>
      <c r="C53" s="26">
        <f>+C35</f>
        <v>-0.33318269344127011</v>
      </c>
      <c r="D53" s="26">
        <f>+D35</f>
        <v>-0.35836810384793694</v>
      </c>
      <c r="E53" s="26">
        <f>+E35</f>
        <v>-0.34577539864460349</v>
      </c>
      <c r="F53" s="1" t="s">
        <v>105</v>
      </c>
    </row>
    <row r="54" spans="2:6" x14ac:dyDescent="0.25">
      <c r="B54" s="1" t="s">
        <v>89</v>
      </c>
      <c r="C54" s="26">
        <f>+C45</f>
        <v>0.7386921837544701</v>
      </c>
      <c r="D54" s="26">
        <f>+D45</f>
        <v>0.76771364549528665</v>
      </c>
      <c r="E54" s="22">
        <f>+E45</f>
        <v>0.75320291462487843</v>
      </c>
      <c r="F54" s="1" t="s">
        <v>106</v>
      </c>
    </row>
    <row r="55" spans="2:6" s="36" customFormat="1" x14ac:dyDescent="0.25"/>
  </sheetData>
  <mergeCells count="2">
    <mergeCell ref="B2:F2"/>
    <mergeCell ref="B25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IS</vt:lpstr>
      <vt:lpstr>BS</vt:lpstr>
      <vt:lpstr>CF</vt:lpstr>
      <vt:lpstr>Análisis Financiero</vt:lpstr>
      <vt:lpstr>EL</vt:lpstr>
      <vt:lpstr>Supuestos DCF - Múltiplo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Óscar Eduardo Rocha Mora</dc:creator>
  <cp:lastModifiedBy>Óscar Eduardo Rocha Mora</cp:lastModifiedBy>
  <dcterms:created xsi:type="dcterms:W3CDTF">2025-11-20T16:40:47Z</dcterms:created>
  <dcterms:modified xsi:type="dcterms:W3CDTF">2026-04-08T15:58:25Z</dcterms:modified>
</cp:coreProperties>
</file>