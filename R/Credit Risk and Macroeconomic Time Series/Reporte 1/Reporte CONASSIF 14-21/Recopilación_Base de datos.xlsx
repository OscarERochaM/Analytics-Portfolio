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Backup\Asuntos personales\UCR\2026\2026_I Cuatrimestre\Métodos Cuantitativos en Banca\Reporte\"/>
    </mc:Choice>
  </mc:AlternateContent>
  <xr:revisionPtr revIDLastSave="0" documentId="13_ncr:1_{1BF6E64A-9CFF-4C48-9735-295DC2A2E559}" xr6:coauthVersionLast="47" xr6:coauthVersionMax="47" xr10:uidLastSave="{00000000-0000-0000-0000-000000000000}"/>
  <bookViews>
    <workbookView xWindow="-120" yWindow="-120" windowWidth="29040" windowHeight="15720" xr2:uid="{61FD6DE1-DBDD-4258-B11B-958CDBBCBC76}"/>
  </bookViews>
  <sheets>
    <sheet name="Datos para el modelo" sheetId="1" r:id="rId1"/>
    <sheet name="PD (Morosidad)" sheetId="2" r:id="rId2"/>
    <sheet name="TPM" sheetId="7" r:id="rId3"/>
    <sheet name="Tipo de cambio" sheetId="8" r:id="rId4"/>
    <sheet name="Inflación" sheetId="10" r:id="rId5"/>
  </sheets>
  <definedNames>
    <definedName name="_xlnm._FilterDatabase" localSheetId="2" hidden="1">TPM!$B$5:$W$371</definedName>
    <definedName name="DataExported" localSheetId="4">Inflación!$B$1:$K$30</definedName>
    <definedName name="DataExported" localSheetId="2">TPM!$B$1:$W$371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F4" i="2"/>
  <c r="P4" i="2" s="1"/>
  <c r="F5" i="2"/>
  <c r="P5" i="2" s="1"/>
  <c r="F6" i="2"/>
  <c r="P6" i="2" s="1"/>
  <c r="F7" i="2"/>
  <c r="P7" i="2" s="1"/>
  <c r="F8" i="2"/>
  <c r="P8" i="2" s="1"/>
  <c r="F9" i="2"/>
  <c r="P9" i="2" s="1"/>
  <c r="F10" i="2"/>
  <c r="P10" i="2" s="1"/>
  <c r="F11" i="2"/>
  <c r="P11" i="2" s="1"/>
  <c r="F12" i="2"/>
  <c r="P12" i="2" s="1"/>
  <c r="F13" i="2"/>
  <c r="E13" i="2" s="1"/>
  <c r="C13" i="1" s="1"/>
  <c r="F14" i="2"/>
  <c r="E14" i="2" s="1"/>
  <c r="C14" i="1" s="1"/>
  <c r="F15" i="2"/>
  <c r="E15" i="2" s="1"/>
  <c r="C15" i="1" s="1"/>
  <c r="F16" i="2"/>
  <c r="P16" i="2" s="1"/>
  <c r="F17" i="2"/>
  <c r="P17" i="2" s="1"/>
  <c r="F18" i="2"/>
  <c r="E18" i="2" s="1"/>
  <c r="C18" i="1" s="1"/>
  <c r="F19" i="2"/>
  <c r="E19" i="2" s="1"/>
  <c r="C19" i="1" s="1"/>
  <c r="F20" i="2"/>
  <c r="E20" i="2" s="1"/>
  <c r="C20" i="1" s="1"/>
  <c r="F21" i="2"/>
  <c r="E21" i="2" s="1"/>
  <c r="C21" i="1" s="1"/>
  <c r="F22" i="2"/>
  <c r="E22" i="2" s="1"/>
  <c r="C22" i="1" s="1"/>
  <c r="F23" i="2"/>
  <c r="E23" i="2" s="1"/>
  <c r="C23" i="1" s="1"/>
  <c r="F24" i="2"/>
  <c r="E24" i="2" s="1"/>
  <c r="C24" i="1" s="1"/>
  <c r="F25" i="2"/>
  <c r="E25" i="2" s="1"/>
  <c r="C25" i="1" s="1"/>
  <c r="F26" i="2"/>
  <c r="E26" i="2" s="1"/>
  <c r="C26" i="1" s="1"/>
  <c r="F3" i="2"/>
  <c r="E3" i="2" s="1"/>
  <c r="C3" i="1" s="1"/>
  <c r="E6" i="2"/>
  <c r="C6" i="1" s="1"/>
  <c r="E7" i="2"/>
  <c r="C7" i="1" s="1"/>
  <c r="E8" i="2"/>
  <c r="C8" i="1" s="1"/>
  <c r="E9" i="2"/>
  <c r="C9" i="1" s="1"/>
  <c r="E11" i="2"/>
  <c r="C11" i="1" s="1"/>
  <c r="F2" i="2"/>
  <c r="E2" i="2" s="1"/>
  <c r="C2" i="1" s="1"/>
  <c r="E26" i="1"/>
  <c r="E24" i="1"/>
  <c r="E25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5" i="2" l="1"/>
  <c r="C5" i="1" s="1"/>
  <c r="E4" i="2"/>
  <c r="C4" i="1" s="1"/>
  <c r="E10" i="2"/>
  <c r="C10" i="1" s="1"/>
  <c r="E17" i="2"/>
  <c r="C17" i="1" s="1"/>
  <c r="E16" i="2"/>
  <c r="C16" i="1" s="1"/>
  <c r="E12" i="2"/>
  <c r="C12" i="1" s="1"/>
  <c r="P26" i="2"/>
  <c r="P14" i="2"/>
  <c r="P25" i="2"/>
  <c r="P13" i="2"/>
  <c r="P24" i="2"/>
  <c r="P23" i="2"/>
  <c r="P22" i="2"/>
  <c r="P21" i="2"/>
  <c r="P20" i="2"/>
  <c r="P19" i="2"/>
  <c r="P18" i="2"/>
  <c r="P2" i="2"/>
  <c r="P15" i="2"/>
  <c r="P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54CD74-31CF-482E-BFCD-9C10D464C06A}" name="Connection" type="4" refreshedVersion="8" background="1" refreshOnLoad="1" saveData="1">
    <webPr sourceData="1" parsePre="1" consecutive="1" xl2000="1" url="https://gee.bccr.fi.cr/indicadoreseconomicos/cuadros/frmvercatcuadro.aspx?CodCuadro=779&amp;Idioma=1&amp;FecInicial=2006/01/01&amp;FecFinal=2026/02/18&amp;Exportar=True&amp;Excel=True"/>
  </connection>
  <connection id="2" xr16:uid="{28AD05CC-7888-46D0-AE60-5E68E8F2BF16}" name="Connection1" type="4" refreshedVersion="8" background="1" refreshOnLoad="1" saveData="1">
    <webPr sourceData="1" parsePre="1" consecutive="1" xl2000="1" url="https://gee.bccr.fi.cr/indicadoreseconomicos/cuadros/frmvercatcuadro.aspx?CodCuadro=2732&amp;Idioma=1&amp;FecInicial=2024/01/01&amp;FecFinal=2026/01/31&amp;Filtro=0&amp;Exportar=True&amp;Excel=True"/>
  </connection>
</connections>
</file>

<file path=xl/sharedStrings.xml><?xml version="1.0" encoding="utf-8"?>
<sst xmlns="http://schemas.openxmlformats.org/spreadsheetml/2006/main" count="487" uniqueCount="480">
  <si>
    <t>TPM</t>
  </si>
  <si>
    <t>FX</t>
  </si>
  <si>
    <t>Fecha</t>
  </si>
  <si>
    <t>PD 90+</t>
  </si>
  <si>
    <t>Total</t>
  </si>
  <si>
    <t>Al día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</si>
  <si>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</si>
  <si>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</si>
  <si>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</si>
  <si>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</si>
  <si>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</si>
  <si>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</si>
  <si>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</si>
  <si>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</si>
  <si>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</si>
  <si>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</si>
  <si>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</si>
  <si>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</si>
  <si>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</si>
  <si>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</si>
  <si>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</si>
  <si>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</si>
  <si>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</si>
  <si>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</si>
  <si>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</si>
  <si>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</si>
  <si>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</si>
  <si>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</si>
  <si>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</si>
  <si>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</si>
  <si>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</si>
  <si>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1 a 30 días</t>
  </si>
  <si>
    <t>31 a 60 días</t>
  </si>
  <si>
    <t>61 a 90 días</t>
  </si>
  <si>
    <t>91 a 180 días</t>
  </si>
  <si>
    <t>Cobro judicial</t>
  </si>
  <si>
    <t>Más de 180 días</t>
  </si>
  <si>
    <t>Total cartera</t>
  </si>
  <si>
    <t>Diferencia</t>
  </si>
  <si>
    <t>Tasa de política monetaria</t>
  </si>
  <si>
    <t>Para operaciones en moneda nacional del Banco Central de Costa Rica (BCCR)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</si>
  <si>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</si>
  <si>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</si>
  <si>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</si>
  <si>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</si>
  <si>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</si>
  <si>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</si>
  <si>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</si>
  <si>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</si>
  <si>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</si>
  <si>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</si>
  <si>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</si>
  <si>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</si>
  <si>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</si>
  <si>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</si>
  <si>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</si>
  <si>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</si>
  <si>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</si>
  <si>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</si>
  <si>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</si>
  <si>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</si>
  <si>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</si>
  <si>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1 Ene</t>
  </si>
  <si>
    <t>2 Ene</t>
  </si>
  <si>
    <t>3 Ene</t>
  </si>
  <si>
    <t>4 Ene</t>
  </si>
  <si>
    <t>5 Ene</t>
  </si>
  <si>
    <t>6 Ene</t>
  </si>
  <si>
    <t>7 Ene</t>
  </si>
  <si>
    <t>8 Ene</t>
  </si>
  <si>
    <t>9 Ene</t>
  </si>
  <si>
    <t>10 Ene</t>
  </si>
  <si>
    <t>11 Ene</t>
  </si>
  <si>
    <t>12 Ene</t>
  </si>
  <si>
    <t>13 Ene</t>
  </si>
  <si>
    <t>14 Ene</t>
  </si>
  <si>
    <t>15 Ene</t>
  </si>
  <si>
    <t>16 Ene</t>
  </si>
  <si>
    <t>17 Ene</t>
  </si>
  <si>
    <t>18 Ene</t>
  </si>
  <si>
    <t>19 Ene</t>
  </si>
  <si>
    <t>20 Ene</t>
  </si>
  <si>
    <t>21 Ene</t>
  </si>
  <si>
    <t>22 Ene</t>
  </si>
  <si>
    <t>23 Ene</t>
  </si>
  <si>
    <t>24 Ene</t>
  </si>
  <si>
    <t>25 Ene</t>
  </si>
  <si>
    <t>26 Ene</t>
  </si>
  <si>
    <t>27 Ene</t>
  </si>
  <si>
    <t>28 Ene</t>
  </si>
  <si>
    <t>29 Ene</t>
  </si>
  <si>
    <t>30 Ene</t>
  </si>
  <si>
    <t>31 Ene</t>
  </si>
  <si>
    <t>1 Feb</t>
  </si>
  <si>
    <t>2 Feb</t>
  </si>
  <si>
    <t>3 Feb</t>
  </si>
  <si>
    <t>4 Feb</t>
  </si>
  <si>
    <t>5 Feb</t>
  </si>
  <si>
    <t>6 Feb</t>
  </si>
  <si>
    <t>7 Feb</t>
  </si>
  <si>
    <t>8 Feb</t>
  </si>
  <si>
    <t>9 Feb</t>
  </si>
  <si>
    <t>10 Feb</t>
  </si>
  <si>
    <t>11 Feb</t>
  </si>
  <si>
    <t>12 Feb</t>
  </si>
  <si>
    <t>13 Feb</t>
  </si>
  <si>
    <t>14 Feb</t>
  </si>
  <si>
    <t>15 Feb</t>
  </si>
  <si>
    <t>16 Feb</t>
  </si>
  <si>
    <t>17 Feb</t>
  </si>
  <si>
    <t>18 Feb</t>
  </si>
  <si>
    <t>19 Feb</t>
  </si>
  <si>
    <t>20 Feb</t>
  </si>
  <si>
    <t>21 Feb</t>
  </si>
  <si>
    <t>22 Feb</t>
  </si>
  <si>
    <t>23 Feb</t>
  </si>
  <si>
    <t>24 Feb</t>
  </si>
  <si>
    <t>25 Feb</t>
  </si>
  <si>
    <t>26 Feb</t>
  </si>
  <si>
    <t>27 Feb</t>
  </si>
  <si>
    <t>28 Feb</t>
  </si>
  <si>
    <t>29 Feb</t>
  </si>
  <si>
    <t>1 Mar</t>
  </si>
  <si>
    <t>2 Mar</t>
  </si>
  <si>
    <t>3 Mar</t>
  </si>
  <si>
    <t>4 Mar</t>
  </si>
  <si>
    <t>5 Mar</t>
  </si>
  <si>
    <t>6 Mar</t>
  </si>
  <si>
    <t>7 Mar</t>
  </si>
  <si>
    <t>8 Mar</t>
  </si>
  <si>
    <t>9 Mar</t>
  </si>
  <si>
    <t>10 Mar</t>
  </si>
  <si>
    <t>11 Mar</t>
  </si>
  <si>
    <t>12 Mar</t>
  </si>
  <si>
    <t>13 Mar</t>
  </si>
  <si>
    <t>14 Mar</t>
  </si>
  <si>
    <t>15 Mar</t>
  </si>
  <si>
    <t>16 Mar</t>
  </si>
  <si>
    <t>17 Mar</t>
  </si>
  <si>
    <t>18 Mar</t>
  </si>
  <si>
    <t>19 Mar</t>
  </si>
  <si>
    <t>20 Mar</t>
  </si>
  <si>
    <t>21 Mar</t>
  </si>
  <si>
    <t>22 Mar</t>
  </si>
  <si>
    <t>23 Mar</t>
  </si>
  <si>
    <t>24 Mar</t>
  </si>
  <si>
    <t>25 Mar</t>
  </si>
  <si>
    <t>26 Mar</t>
  </si>
  <si>
    <t>27 Mar</t>
  </si>
  <si>
    <t>28 Mar</t>
  </si>
  <si>
    <t>29 Mar</t>
  </si>
  <si>
    <t>30 Mar</t>
  </si>
  <si>
    <t>31 Mar</t>
  </si>
  <si>
    <t>1 Abr</t>
  </si>
  <si>
    <t>2 Abr</t>
  </si>
  <si>
    <t>3 Abr</t>
  </si>
  <si>
    <t>4 Abr</t>
  </si>
  <si>
    <t>5 Abr</t>
  </si>
  <si>
    <t>6 Abr</t>
  </si>
  <si>
    <t>7 Abr</t>
  </si>
  <si>
    <t>8 Abr</t>
  </si>
  <si>
    <t>9 Abr</t>
  </si>
  <si>
    <t>10 Abr</t>
  </si>
  <si>
    <t>11 Abr</t>
  </si>
  <si>
    <t>12 Abr</t>
  </si>
  <si>
    <t>13 Abr</t>
  </si>
  <si>
    <t>14 Abr</t>
  </si>
  <si>
    <t>15 Abr</t>
  </si>
  <si>
    <t>16 Abr</t>
  </si>
  <si>
    <t>17 Abr</t>
  </si>
  <si>
    <t>18 Abr</t>
  </si>
  <si>
    <t>19 Abr</t>
  </si>
  <si>
    <t>20 Abr</t>
  </si>
  <si>
    <t>21 Abr</t>
  </si>
  <si>
    <t>22 Abr</t>
  </si>
  <si>
    <t>23 Abr</t>
  </si>
  <si>
    <t>24 Abr</t>
  </si>
  <si>
    <t>25 Abr</t>
  </si>
  <si>
    <t>26 Abr</t>
  </si>
  <si>
    <t>27 Abr</t>
  </si>
  <si>
    <t>28 Abr</t>
  </si>
  <si>
    <t>29 Abr</t>
  </si>
  <si>
    <t>30 Abr</t>
  </si>
  <si>
    <t>1 May</t>
  </si>
  <si>
    <t>2 May</t>
  </si>
  <si>
    <t>3 May</t>
  </si>
  <si>
    <t>4 May</t>
  </si>
  <si>
    <t>5 May</t>
  </si>
  <si>
    <t>6 May</t>
  </si>
  <si>
    <t>7 May</t>
  </si>
  <si>
    <t>8 May</t>
  </si>
  <si>
    <t>9 May</t>
  </si>
  <si>
    <t>10 May</t>
  </si>
  <si>
    <t>11 May</t>
  </si>
  <si>
    <t>12 May</t>
  </si>
  <si>
    <t>13 May</t>
  </si>
  <si>
    <t>14 May</t>
  </si>
  <si>
    <t>15 May</t>
  </si>
  <si>
    <t>16 May</t>
  </si>
  <si>
    <t>17 May</t>
  </si>
  <si>
    <t>18 May</t>
  </si>
  <si>
    <t>19 May</t>
  </si>
  <si>
    <t>20 May</t>
  </si>
  <si>
    <t>21 May</t>
  </si>
  <si>
    <t>22 May</t>
  </si>
  <si>
    <t>23 May</t>
  </si>
  <si>
    <t>24 May</t>
  </si>
  <si>
    <t>25 May</t>
  </si>
  <si>
    <t>26 May</t>
  </si>
  <si>
    <t>27 May</t>
  </si>
  <si>
    <t>28 May</t>
  </si>
  <si>
    <t>29 May</t>
  </si>
  <si>
    <t>30 May</t>
  </si>
  <si>
    <t>31 May</t>
  </si>
  <si>
    <t>1 Jun</t>
  </si>
  <si>
    <t>2 Jun</t>
  </si>
  <si>
    <t>3 Jun</t>
  </si>
  <si>
    <t>4 Jun</t>
  </si>
  <si>
    <t>5 Jun</t>
  </si>
  <si>
    <t>6 Jun</t>
  </si>
  <si>
    <t>7 Jun</t>
  </si>
  <si>
    <t>8 Jun</t>
  </si>
  <si>
    <t>9 Jun</t>
  </si>
  <si>
    <t>10 Jun</t>
  </si>
  <si>
    <t>11 Jun</t>
  </si>
  <si>
    <t>12 Jun</t>
  </si>
  <si>
    <t>13 Jun</t>
  </si>
  <si>
    <t>14 Jun</t>
  </si>
  <si>
    <t>15 Jun</t>
  </si>
  <si>
    <t>16 Jun</t>
  </si>
  <si>
    <t>17 Jun</t>
  </si>
  <si>
    <t>18 Jun</t>
  </si>
  <si>
    <t>19 Jun</t>
  </si>
  <si>
    <t>20 Jun</t>
  </si>
  <si>
    <t>21 Jun</t>
  </si>
  <si>
    <t>22 Jun</t>
  </si>
  <si>
    <t>23 Jun</t>
  </si>
  <si>
    <t>24 Jun</t>
  </si>
  <si>
    <t>25 Jun</t>
  </si>
  <si>
    <t>26 Jun</t>
  </si>
  <si>
    <t>27 Jun</t>
  </si>
  <si>
    <t>28 Jun</t>
  </si>
  <si>
    <t>29 Jun</t>
  </si>
  <si>
    <t>30 Jun</t>
  </si>
  <si>
    <t>1 Jul</t>
  </si>
  <si>
    <t>2 Jul</t>
  </si>
  <si>
    <t>3 Jul</t>
  </si>
  <si>
    <t>4 Jul</t>
  </si>
  <si>
    <t>5 Jul</t>
  </si>
  <si>
    <t>6 Jul</t>
  </si>
  <si>
    <t>7 Jul</t>
  </si>
  <si>
    <t>8 Jul</t>
  </si>
  <si>
    <t>9 Jul</t>
  </si>
  <si>
    <t>10 Jul</t>
  </si>
  <si>
    <t>11 Jul</t>
  </si>
  <si>
    <t>12 Jul</t>
  </si>
  <si>
    <t>13 Jul</t>
  </si>
  <si>
    <t>14 Jul</t>
  </si>
  <si>
    <t>15 Jul</t>
  </si>
  <si>
    <t>16 Jul</t>
  </si>
  <si>
    <t>17 Jul</t>
  </si>
  <si>
    <t>18 Jul</t>
  </si>
  <si>
    <t>19 Jul</t>
  </si>
  <si>
    <t>20 Jul</t>
  </si>
  <si>
    <t>21 Jul</t>
  </si>
  <si>
    <t>22 Jul</t>
  </si>
  <si>
    <t>23 Jul</t>
  </si>
  <si>
    <t>24 Jul</t>
  </si>
  <si>
    <t>25 Jul</t>
  </si>
  <si>
    <t>26 Jul</t>
  </si>
  <si>
    <t>27 Jul</t>
  </si>
  <si>
    <t>28 Jul</t>
  </si>
  <si>
    <t>29 Jul</t>
  </si>
  <si>
    <t>30 Jul</t>
  </si>
  <si>
    <t>31 Jul</t>
  </si>
  <si>
    <t>1 Ago</t>
  </si>
  <si>
    <t>2 Ago</t>
  </si>
  <si>
    <t>3 Ago</t>
  </si>
  <si>
    <t>4 Ago</t>
  </si>
  <si>
    <t>5 Ago</t>
  </si>
  <si>
    <t>6 Ago</t>
  </si>
  <si>
    <t>7 Ago</t>
  </si>
  <si>
    <t>8 Ago</t>
  </si>
  <si>
    <t>9 Ago</t>
  </si>
  <si>
    <t>10 Ago</t>
  </si>
  <si>
    <t>11 Ago</t>
  </si>
  <si>
    <t>12 Ago</t>
  </si>
  <si>
    <t>13 Ago</t>
  </si>
  <si>
    <t>14 Ago</t>
  </si>
  <si>
    <t>15 Ago</t>
  </si>
  <si>
    <t>16 Ago</t>
  </si>
  <si>
    <t>17 Ago</t>
  </si>
  <si>
    <t>18 Ago</t>
  </si>
  <si>
    <t>19 Ago</t>
  </si>
  <si>
    <t>20 Ago</t>
  </si>
  <si>
    <t>21 Ago</t>
  </si>
  <si>
    <t>22 Ago</t>
  </si>
  <si>
    <t>23 Ago</t>
  </si>
  <si>
    <t>24 Ago</t>
  </si>
  <si>
    <t>25 Ago</t>
  </si>
  <si>
    <t>26 Ago</t>
  </si>
  <si>
    <t>27 Ago</t>
  </si>
  <si>
    <t>28 Ago</t>
  </si>
  <si>
    <t>29 Ago</t>
  </si>
  <si>
    <t>30 Ago</t>
  </si>
  <si>
    <t>31 Ago</t>
  </si>
  <si>
    <t>1 Set</t>
  </si>
  <si>
    <t>2 Set</t>
  </si>
  <si>
    <t>3 Set</t>
  </si>
  <si>
    <t>4 Set</t>
  </si>
  <si>
    <t>5 Set</t>
  </si>
  <si>
    <t>6 Set</t>
  </si>
  <si>
    <t>7 Set</t>
  </si>
  <si>
    <t>8 Set</t>
  </si>
  <si>
    <t>9 Set</t>
  </si>
  <si>
    <t>10 Set</t>
  </si>
  <si>
    <t>11 Set</t>
  </si>
  <si>
    <t>12 Set</t>
  </si>
  <si>
    <t>13 Set</t>
  </si>
  <si>
    <t>14 Set</t>
  </si>
  <si>
    <t>15 Set</t>
  </si>
  <si>
    <t>16 Set</t>
  </si>
  <si>
    <t>17 Set</t>
  </si>
  <si>
    <t>18 Set</t>
  </si>
  <si>
    <t>19 Set</t>
  </si>
  <si>
    <t>20 Set</t>
  </si>
  <si>
    <t>21 Set</t>
  </si>
  <si>
    <t>22 Set</t>
  </si>
  <si>
    <t>23 Set</t>
  </si>
  <si>
    <t>24 Set</t>
  </si>
  <si>
    <t>25 Set</t>
  </si>
  <si>
    <t>26 Set</t>
  </si>
  <si>
    <t>27 Set</t>
  </si>
  <si>
    <t>28 Set</t>
  </si>
  <si>
    <t>29 Set</t>
  </si>
  <si>
    <t>30 Set</t>
  </si>
  <si>
    <t>1 Oct</t>
  </si>
  <si>
    <t>2 Oct</t>
  </si>
  <si>
    <t>3 Oct</t>
  </si>
  <si>
    <t>4 Oct</t>
  </si>
  <si>
    <t>5 Oct</t>
  </si>
  <si>
    <t>6 Oct</t>
  </si>
  <si>
    <t>7 Oct</t>
  </si>
  <si>
    <t>8 Oct</t>
  </si>
  <si>
    <t>9 Oct</t>
  </si>
  <si>
    <t>10 Oct</t>
  </si>
  <si>
    <t>11 Oct</t>
  </si>
  <si>
    <t>12 Oct</t>
  </si>
  <si>
    <t>13 Oct</t>
  </si>
  <si>
    <t>14 Oct</t>
  </si>
  <si>
    <t>15 Oct</t>
  </si>
  <si>
    <t>16 Oct</t>
  </si>
  <si>
    <t>17 Oct</t>
  </si>
  <si>
    <t>18 Oct</t>
  </si>
  <si>
    <t>19 Oct</t>
  </si>
  <si>
    <t>20 Oct</t>
  </si>
  <si>
    <t>21 Oct</t>
  </si>
  <si>
    <t>22 Oct</t>
  </si>
  <si>
    <t>23 Oct</t>
  </si>
  <si>
    <t>24 Oct</t>
  </si>
  <si>
    <t>25 Oct</t>
  </si>
  <si>
    <t>26 Oct</t>
  </si>
  <si>
    <t>27 Oct</t>
  </si>
  <si>
    <t>28 Oct</t>
  </si>
  <si>
    <t>29 Oct</t>
  </si>
  <si>
    <t>30 Oct</t>
  </si>
  <si>
    <t>31 Oct</t>
  </si>
  <si>
    <t>1 Nov</t>
  </si>
  <si>
    <t>2 Nov</t>
  </si>
  <si>
    <t>3 Nov</t>
  </si>
  <si>
    <t>4 Nov</t>
  </si>
  <si>
    <t>5 Nov</t>
  </si>
  <si>
    <t>6 Nov</t>
  </si>
  <si>
    <t>7 Nov</t>
  </si>
  <si>
    <t>8 Nov</t>
  </si>
  <si>
    <t>9 Nov</t>
  </si>
  <si>
    <t>10 Nov</t>
  </si>
  <si>
    <t>11 Nov</t>
  </si>
  <si>
    <t>12 Nov</t>
  </si>
  <si>
    <t>13 Nov</t>
  </si>
  <si>
    <t>14 Nov</t>
  </si>
  <si>
    <t>15 Nov</t>
  </si>
  <si>
    <t>16 Nov</t>
  </si>
  <si>
    <t>17 Nov</t>
  </si>
  <si>
    <t>18 Nov</t>
  </si>
  <si>
    <t>19 Nov</t>
  </si>
  <si>
    <t>20 Nov</t>
  </si>
  <si>
    <t>21 Nov</t>
  </si>
  <si>
    <t>22 Nov</t>
  </si>
  <si>
    <t>23 Nov</t>
  </si>
  <si>
    <t>24 Nov</t>
  </si>
  <si>
    <t>25 Nov</t>
  </si>
  <si>
    <t>26 Nov</t>
  </si>
  <si>
    <t>27 Nov</t>
  </si>
  <si>
    <t>28 Nov</t>
  </si>
  <si>
    <t>29 Nov</t>
  </si>
  <si>
    <t>30 Nov</t>
  </si>
  <si>
    <t>1 Dic</t>
  </si>
  <si>
    <t>2 Dic</t>
  </si>
  <si>
    <t>3 Dic</t>
  </si>
  <si>
    <t>4 Dic</t>
  </si>
  <si>
    <t>5 Dic</t>
  </si>
  <si>
    <t>6 Dic</t>
  </si>
  <si>
    <t>7 Dic</t>
  </si>
  <si>
    <t>8 Dic</t>
  </si>
  <si>
    <t>9 Dic</t>
  </si>
  <si>
    <t>10 Dic</t>
  </si>
  <si>
    <t>11 Dic</t>
  </si>
  <si>
    <t>12 Dic</t>
  </si>
  <si>
    <t>13 Dic</t>
  </si>
  <si>
    <t>14 Dic</t>
  </si>
  <si>
    <t>15 Dic</t>
  </si>
  <si>
    <t>16 Dic</t>
  </si>
  <si>
    <t>17 Dic</t>
  </si>
  <si>
    <t>18 Dic</t>
  </si>
  <si>
    <t>19 Dic</t>
  </si>
  <si>
    <t>20 Dic</t>
  </si>
  <si>
    <t>21 Dic</t>
  </si>
  <si>
    <t>22 Dic</t>
  </si>
  <si>
    <t>23 Dic</t>
  </si>
  <si>
    <t>24 Dic</t>
  </si>
  <si>
    <t>25 Dic</t>
  </si>
  <si>
    <t>26 Dic</t>
  </si>
  <si>
    <t>27 Dic</t>
  </si>
  <si>
    <t>28 Dic</t>
  </si>
  <si>
    <t>29 Dic</t>
  </si>
  <si>
    <t>30 Dic</t>
  </si>
  <si>
    <t>31 Dic</t>
  </si>
  <si>
    <t>Tipo de cambio de venta del dólar de los Estados Unidos de América</t>
  </si>
  <si>
    <t>En colones costarricenses (Referencia del Banco Central de Costa Rica)</t>
  </si>
  <si>
    <t>Tipo cambio venta</t>
  </si>
  <si>
    <t>Average of Tipo cambio venta</t>
  </si>
  <si>
    <t>Jan</t>
  </si>
  <si>
    <t>Grand Total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</si>
  <si>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</si>
  <si>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</si>
  <si>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</si>
  <si>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</si>
  <si>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</si>
  <si>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</si>
  <si>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</si>
  <si>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</si>
  <si>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</si>
  <si>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</si>
  <si>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</si>
  <si>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</si>
  <si>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Row Labels</t>
  </si>
  <si>
    <t>Enero/2026</t>
  </si>
  <si>
    <t>Diciembre/2025</t>
  </si>
  <si>
    <t>Noviembre/2025</t>
  </si>
  <si>
    <t>Octubre/2025</t>
  </si>
  <si>
    <t>Septiembre/2025</t>
  </si>
  <si>
    <t>Agosto/2025</t>
  </si>
  <si>
    <t>Julio/2025</t>
  </si>
  <si>
    <t>Junio/2025</t>
  </si>
  <si>
    <t>Mayo/2025</t>
  </si>
  <si>
    <t>Abril/2025</t>
  </si>
  <si>
    <t>Marzo/2025</t>
  </si>
  <si>
    <t>Febrero/2025</t>
  </si>
  <si>
    <t>Enero/2025</t>
  </si>
  <si>
    <t>Diciembre/2024</t>
  </si>
  <si>
    <t>Noviembre/2024</t>
  </si>
  <si>
    <t>Octubre/2024</t>
  </si>
  <si>
    <t>Septiembre/2024</t>
  </si>
  <si>
    <t>Agosto/2024</t>
  </si>
  <si>
    <t>Julio/2024</t>
  </si>
  <si>
    <t>Junio/2024</t>
  </si>
  <si>
    <t>Mayo/2024</t>
  </si>
  <si>
    <t>Abril/2024</t>
  </si>
  <si>
    <t>Marzo/2024</t>
  </si>
  <si>
    <t>Febrero/2024</t>
  </si>
  <si>
    <t>Enero/2024</t>
  </si>
  <si>
    <t>Variación acumulada (%)/n3</t>
  </si>
  <si>
    <t>Variación interanual (%)</t>
  </si>
  <si>
    <t>Variación mensual (%)</t>
  </si>
  <si>
    <t>Nivel</t>
  </si>
  <si>
    <t>Niveles y variaciones</t>
  </si>
  <si>
    <t>Diciembre 2020=100</t>
  </si>
  <si>
    <t>Índice de precios al consumidor (IPC)</t>
  </si>
  <si>
    <t>INF_YOY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</si>
</sst>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00"/>
    <numFmt numFmtId="165" formatCode="#,##0.000000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Border="0"/>
    <xf numFmtId="0" fontId="6" fillId="0" borderId="0"/>
  </cellStyleXfs>
  <cellXfs count="42">
    <xf numFmtId="0" fontId="0" fillId="0" borderId="0" xfId="0"/>
    <xf numFmtId="0" fontId="0" fillId="2" borderId="0" xfId="0" applyFill="1"/>
    <xf numFmtId="0" fontId="3" fillId="2" borderId="0" xfId="0" applyFont="1" applyFill="1"/>
    <xf numFmtId="164" fontId="3" fillId="2" borderId="0" xfId="0" applyNumberFormat="1" applyFont="1" applyFill="1"/>
    <xf numFmtId="4" fontId="3" fillId="2" borderId="0" xfId="1" applyNumberFormat="1" applyFont="1" applyFill="1"/>
    <xf numFmtId="4" fontId="3" fillId="2" borderId="0" xfId="0" applyNumberFormat="1" applyFont="1" applyFill="1"/>
    <xf numFmtId="44" fontId="3" fillId="2" borderId="0" xfId="0" applyNumberFormat="1" applyFont="1" applyFill="1"/>
    <xf numFmtId="0" fontId="4" fillId="2" borderId="0" xfId="0" applyFont="1" applyFill="1"/>
    <xf numFmtId="49" fontId="6" fillId="0" borderId="0" xfId="3" applyNumberFormat="1"/>
    <xf numFmtId="0" fontId="6" fillId="0" borderId="0" xfId="3"/>
    <xf numFmtId="4" fontId="6" fillId="0" borderId="0" xfId="3" applyNumberFormat="1"/>
    <xf numFmtId="4" fontId="7" fillId="3" borderId="0" xfId="3" applyNumberFormat="1" applyFont="1" applyFill="1"/>
    <xf numFmtId="4" fontId="6" fillId="3" borderId="0" xfId="3" applyNumberFormat="1" applyFill="1"/>
    <xf numFmtId="49" fontId="6" fillId="2" borderId="0" xfId="3" applyNumberFormat="1" applyFill="1"/>
    <xf numFmtId="0" fontId="6" fillId="2" borderId="0" xfId="3" applyFill="1"/>
    <xf numFmtId="0" fontId="8" fillId="2" borderId="0" xfId="4" applyFill="1"/>
    <xf numFmtId="165" fontId="8" fillId="2" borderId="0" xfId="4" applyNumberFormat="1" applyFill="1"/>
    <xf numFmtId="0" fontId="9" fillId="2" borderId="0" xfId="4" applyFont="1" applyFill="1"/>
    <xf numFmtId="0" fontId="4" fillId="2" borderId="1" xfId="0" applyFont="1" applyFill="1" applyBorder="1"/>
    <xf numFmtId="0" fontId="5" fillId="2" borderId="1" xfId="3" applyFont="1" applyFill="1" applyBorder="1"/>
    <xf numFmtId="49" fontId="5" fillId="2" borderId="1" xfId="3" applyNumberFormat="1" applyFont="1" applyFill="1" applyBorder="1"/>
    <xf numFmtId="49" fontId="3" fillId="3" borderId="0" xfId="3" applyNumberFormat="1" applyFont="1" applyFill="1"/>
    <xf numFmtId="4" fontId="3" fillId="3" borderId="0" xfId="3" applyNumberFormat="1" applyFont="1" applyFill="1"/>
    <xf numFmtId="4" fontId="3" fillId="2" borderId="0" xfId="3" applyNumberFormat="1" applyFont="1" applyFill="1"/>
    <xf numFmtId="0" fontId="3" fillId="2" borderId="0" xfId="3" applyFont="1" applyFill="1"/>
    <xf numFmtId="0" fontId="10" fillId="2" borderId="0" xfId="4" applyFont="1" applyFill="1"/>
    <xf numFmtId="14" fontId="11" fillId="2" borderId="0" xfId="4" applyNumberFormat="1" applyFont="1" applyFill="1"/>
    <xf numFmtId="165" fontId="11" fillId="2" borderId="0" xfId="4" applyNumberFormat="1" applyFont="1" applyFill="1"/>
    <xf numFmtId="0" fontId="12" fillId="0" borderId="0" xfId="0" pivotButton="1" applyFont="1"/>
    <xf numFmtId="0" fontId="12" fillId="0" borderId="0" xfId="0" applyFont="1"/>
    <xf numFmtId="0" fontId="12" fillId="0" borderId="0" xfId="0" applyFont="1" applyAlignment="1">
      <alignment horizontal="left"/>
    </xf>
    <xf numFmtId="165" fontId="12" fillId="0" borderId="0" xfId="0" applyNumberFormat="1" applyFont="1"/>
    <xf numFmtId="2" fontId="3" fillId="2" borderId="0" xfId="0" applyNumberFormat="1" applyFont="1" applyFill="1"/>
    <xf numFmtId="0" fontId="3" fillId="2" borderId="0" xfId="5" applyFont="1" applyFill="1"/>
    <xf numFmtId="4" fontId="3" fillId="2" borderId="0" xfId="5" applyNumberFormat="1" applyFont="1" applyFill="1"/>
    <xf numFmtId="49" fontId="3" fillId="2" borderId="0" xfId="5" applyNumberFormat="1" applyFont="1" applyFill="1"/>
    <xf numFmtId="49" fontId="5" fillId="2" borderId="1" xfId="5" applyNumberFormat="1" applyFont="1" applyFill="1" applyBorder="1"/>
    <xf numFmtId="0" fontId="5" fillId="2" borderId="1" xfId="5" applyFont="1" applyFill="1" applyBorder="1"/>
    <xf numFmtId="0" fontId="4" fillId="2" borderId="0" xfId="5" applyFont="1" applyFill="1"/>
    <xf numFmtId="49" fontId="4" fillId="2" borderId="0" xfId="5" applyNumberFormat="1" applyFont="1" applyFill="1"/>
    <xf numFmtId="14" fontId="3" fillId="2" borderId="0" xfId="0" applyNumberFormat="1" applyFont="1" applyFill="1"/>
    <xf numFmtId="17" fontId="3" fillId="2" borderId="0" xfId="0" applyNumberFormat="1" applyFont="1" applyFill="1"/>
  </cellXfs>
  <cellStyles count="6">
    <cellStyle name="Currency" xfId="1" builtinId="4"/>
    <cellStyle name="Normal" xfId="0" builtinId="0"/>
    <cellStyle name="Normal 2" xfId="2" xr:uid="{967EF729-2687-45D2-AF1D-9D0B0D816620}"/>
    <cellStyle name="Normal 3" xfId="3" xr:uid="{5FC8E0BA-92B4-4589-A26A-D06DAA35F74C}"/>
    <cellStyle name="Normal 4" xfId="4" xr:uid="{3348969C-4D91-4233-AE39-F7049D3A8F52}"/>
    <cellStyle name="Normal 5" xfId="5" xr:uid="{38B524F5-E1DF-46B2-AFC5-1A4FF7780563}"/>
  </cellStyles>
  <dxfs count="2">
    <dxf>
      <font>
        <sz val="10"/>
      </font>
    </dxf>
    <dxf>
      <font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Rocha" refreshedDate="46071.670983101852" createdVersion="8" refreshedVersion="8" minRefreshableVersion="3" recordCount="780" xr:uid="{668EE38C-EC6C-4251-B457-F9BF6D0B57AC}">
  <cacheSource type="worksheet">
    <worksheetSource ref="B5:C785" sheet="Tipo de cambio"/>
  </cacheSource>
  <cacheFields count="5">
    <cacheField name="Fecha" numFmtId="14">
      <sharedItems containsSemiMixedTypes="0" containsNonDate="0" containsDate="1" containsString="0" minDate="2024-01-01T00:00:00" maxDate="2026-02-19T00:00:00" count="78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</sharedItems>
      <fieldGroup par="4"/>
    </cacheField>
    <cacheField name="Tipo cambio venta" numFmtId="165">
      <sharedItems containsSemiMixedTypes="0" containsString="0" containsNumber="1" minValue="484.62" maxValue="535.4"/>
    </cacheField>
    <cacheField name="Months (Fecha)" numFmtId="0" databaseField="0">
      <fieldGroup base="0">
        <rangePr groupBy="months" startDate="2024-01-01T00:00:00" endDate="2026-02-19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9/2026"/>
        </groupItems>
      </fieldGroup>
    </cacheField>
    <cacheField name="Quarters (Fecha)" numFmtId="0" databaseField="0">
      <fieldGroup base="0">
        <rangePr groupBy="quarters" startDate="2024-01-01T00:00:00" endDate="2026-02-19T00:00:00"/>
        <groupItems count="6">
          <s v="&lt;1/1/2024"/>
          <s v="Qtr1"/>
          <s v="Qtr2"/>
          <s v="Qtr3"/>
          <s v="Qtr4"/>
          <s v="&gt;2/19/2026"/>
        </groupItems>
      </fieldGroup>
    </cacheField>
    <cacheField name="Years (Fecha)" numFmtId="0" databaseField="0">
      <fieldGroup base="0">
        <rangePr groupBy="years" startDate="2024-01-01T00:00:00" endDate="2026-02-19T00:00:00"/>
        <groupItems count="5">
          <s v="&lt;1/1/2024"/>
          <s v="2024"/>
          <s v="2025"/>
          <s v="2026"/>
          <s v="&gt;2/1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0">
  <r>
    <x v="0"/>
    <n v="526.88"/>
  </r>
  <r>
    <x v="1"/>
    <n v="526.88"/>
  </r>
  <r>
    <x v="2"/>
    <n v="525.67999999999995"/>
  </r>
  <r>
    <x v="3"/>
    <n v="524.65"/>
  </r>
  <r>
    <x v="4"/>
    <n v="523.83000000000004"/>
  </r>
  <r>
    <x v="5"/>
    <n v="524.73"/>
  </r>
  <r>
    <x v="6"/>
    <n v="524.73"/>
  </r>
  <r>
    <x v="7"/>
    <n v="524.73"/>
  </r>
  <r>
    <x v="8"/>
    <n v="525.27"/>
  </r>
  <r>
    <x v="9"/>
    <n v="524.94000000000005"/>
  </r>
  <r>
    <x v="10"/>
    <n v="524.97"/>
  </r>
  <r>
    <x v="11"/>
    <n v="523.15"/>
  </r>
  <r>
    <x v="12"/>
    <n v="523.29999999999995"/>
  </r>
  <r>
    <x v="13"/>
    <n v="523.29999999999995"/>
  </r>
  <r>
    <x v="14"/>
    <n v="523.29999999999995"/>
  </r>
  <r>
    <x v="15"/>
    <n v="521.13"/>
  </r>
  <r>
    <x v="16"/>
    <n v="519.39"/>
  </r>
  <r>
    <x v="17"/>
    <n v="520.16"/>
  </r>
  <r>
    <x v="18"/>
    <n v="519.23"/>
  </r>
  <r>
    <x v="19"/>
    <n v="519.36"/>
  </r>
  <r>
    <x v="20"/>
    <n v="519.36"/>
  </r>
  <r>
    <x v="21"/>
    <n v="519.36"/>
  </r>
  <r>
    <x v="22"/>
    <n v="518.32000000000005"/>
  </r>
  <r>
    <x v="23"/>
    <n v="517.72"/>
  </r>
  <r>
    <x v="24"/>
    <n v="517.5"/>
  </r>
  <r>
    <x v="25"/>
    <n v="517.07000000000005"/>
  </r>
  <r>
    <x v="26"/>
    <n v="516.86"/>
  </r>
  <r>
    <x v="27"/>
    <n v="516.86"/>
  </r>
  <r>
    <x v="28"/>
    <n v="516.86"/>
  </r>
  <r>
    <x v="29"/>
    <n v="517.67999999999995"/>
  </r>
  <r>
    <x v="30"/>
    <n v="519.79"/>
  </r>
  <r>
    <x v="31"/>
    <n v="520.78"/>
  </r>
  <r>
    <x v="32"/>
    <n v="520.20000000000005"/>
  </r>
  <r>
    <x v="33"/>
    <n v="520.89"/>
  </r>
  <r>
    <x v="34"/>
    <n v="520.89"/>
  </r>
  <r>
    <x v="35"/>
    <n v="520.89"/>
  </r>
  <r>
    <x v="36"/>
    <n v="521.79"/>
  </r>
  <r>
    <x v="37"/>
    <n v="521.74"/>
  </r>
  <r>
    <x v="38"/>
    <n v="520.82000000000005"/>
  </r>
  <r>
    <x v="39"/>
    <n v="521.14"/>
  </r>
  <r>
    <x v="40"/>
    <n v="521.38"/>
  </r>
  <r>
    <x v="41"/>
    <n v="521.38"/>
  </r>
  <r>
    <x v="42"/>
    <n v="521.38"/>
  </r>
  <r>
    <x v="43"/>
    <n v="520.67999999999995"/>
  </r>
  <r>
    <x v="44"/>
    <n v="520.45000000000005"/>
  </r>
  <r>
    <x v="45"/>
    <n v="520.80999999999995"/>
  </r>
  <r>
    <x v="46"/>
    <n v="519.51"/>
  </r>
  <r>
    <x v="47"/>
    <n v="518.28"/>
  </r>
  <r>
    <x v="48"/>
    <n v="518.28"/>
  </r>
  <r>
    <x v="49"/>
    <n v="518.28"/>
  </r>
  <r>
    <x v="50"/>
    <n v="517.41"/>
  </r>
  <r>
    <x v="51"/>
    <n v="516.82000000000005"/>
  </r>
  <r>
    <x v="52"/>
    <n v="517.73"/>
  </r>
  <r>
    <x v="53"/>
    <n v="517.48"/>
  </r>
  <r>
    <x v="54"/>
    <n v="517.96"/>
  </r>
  <r>
    <x v="55"/>
    <n v="517.96"/>
  </r>
  <r>
    <x v="56"/>
    <n v="517.96"/>
  </r>
  <r>
    <x v="57"/>
    <n v="517.92999999999995"/>
  </r>
  <r>
    <x v="58"/>
    <n v="517.14"/>
  </r>
  <r>
    <x v="59"/>
    <n v="516.34"/>
  </r>
  <r>
    <x v="60"/>
    <n v="517.49"/>
  </r>
  <r>
    <x v="61"/>
    <n v="518.15"/>
  </r>
  <r>
    <x v="62"/>
    <n v="518.15"/>
  </r>
  <r>
    <x v="63"/>
    <n v="518.15"/>
  </r>
  <r>
    <x v="64"/>
    <n v="515.95000000000005"/>
  </r>
  <r>
    <x v="65"/>
    <n v="515.07000000000005"/>
  </r>
  <r>
    <x v="66"/>
    <n v="513.76"/>
  </r>
  <r>
    <x v="67"/>
    <n v="512.99"/>
  </r>
  <r>
    <x v="68"/>
    <n v="512.51"/>
  </r>
  <r>
    <x v="69"/>
    <n v="512.51"/>
  </r>
  <r>
    <x v="70"/>
    <n v="512.51"/>
  </r>
  <r>
    <x v="71"/>
    <n v="511.45"/>
  </r>
  <r>
    <x v="72"/>
    <n v="510.75"/>
  </r>
  <r>
    <x v="73"/>
    <n v="509.98"/>
  </r>
  <r>
    <x v="74"/>
    <n v="509.43"/>
  </r>
  <r>
    <x v="75"/>
    <n v="507.89"/>
  </r>
  <r>
    <x v="76"/>
    <n v="507.89"/>
  </r>
  <r>
    <x v="77"/>
    <n v="507.89"/>
  </r>
  <r>
    <x v="78"/>
    <n v="505.8"/>
  </r>
  <r>
    <x v="79"/>
    <n v="505.74"/>
  </r>
  <r>
    <x v="80"/>
    <n v="505.84"/>
  </r>
  <r>
    <x v="81"/>
    <n v="505.97"/>
  </r>
  <r>
    <x v="82"/>
    <n v="505.68"/>
  </r>
  <r>
    <x v="83"/>
    <n v="505.68"/>
  </r>
  <r>
    <x v="84"/>
    <n v="505.68"/>
  </r>
  <r>
    <x v="85"/>
    <n v="505.36"/>
  </r>
  <r>
    <x v="86"/>
    <n v="505.99"/>
  </r>
  <r>
    <x v="87"/>
    <n v="506.6"/>
  </r>
  <r>
    <x v="88"/>
    <n v="506.6"/>
  </r>
  <r>
    <x v="89"/>
    <n v="506.6"/>
  </r>
  <r>
    <x v="90"/>
    <n v="506.6"/>
  </r>
  <r>
    <x v="91"/>
    <n v="506.6"/>
  </r>
  <r>
    <x v="92"/>
    <n v="505.73"/>
  </r>
  <r>
    <x v="93"/>
    <n v="504.75"/>
  </r>
  <r>
    <x v="94"/>
    <n v="505.99"/>
  </r>
  <r>
    <x v="95"/>
    <n v="506.51"/>
  </r>
  <r>
    <x v="96"/>
    <n v="507.03"/>
  </r>
  <r>
    <x v="97"/>
    <n v="507.03"/>
  </r>
  <r>
    <x v="98"/>
    <n v="507.03"/>
  </r>
  <r>
    <x v="99"/>
    <n v="505.46"/>
  </r>
  <r>
    <x v="100"/>
    <n v="504.42"/>
  </r>
  <r>
    <x v="101"/>
    <n v="504.11"/>
  </r>
  <r>
    <x v="102"/>
    <n v="504.34"/>
  </r>
  <r>
    <x v="103"/>
    <n v="504.3"/>
  </r>
  <r>
    <x v="104"/>
    <n v="504.3"/>
  </r>
  <r>
    <x v="105"/>
    <n v="504.3"/>
  </r>
  <r>
    <x v="106"/>
    <n v="504.3"/>
  </r>
  <r>
    <x v="107"/>
    <n v="503.52"/>
  </r>
  <r>
    <x v="108"/>
    <n v="504.11"/>
  </r>
  <r>
    <x v="109"/>
    <n v="504.07"/>
  </r>
  <r>
    <x v="110"/>
    <n v="503.7"/>
  </r>
  <r>
    <x v="111"/>
    <n v="503.7"/>
  </r>
  <r>
    <x v="112"/>
    <n v="503.7"/>
  </r>
  <r>
    <x v="113"/>
    <n v="502.86"/>
  </r>
  <r>
    <x v="114"/>
    <n v="504.43"/>
  </r>
  <r>
    <x v="115"/>
    <n v="505.01"/>
  </r>
  <r>
    <x v="116"/>
    <n v="504.88"/>
  </r>
  <r>
    <x v="117"/>
    <n v="505.18"/>
  </r>
  <r>
    <x v="118"/>
    <n v="505.18"/>
  </r>
  <r>
    <x v="119"/>
    <n v="505.18"/>
  </r>
  <r>
    <x v="120"/>
    <n v="507.71"/>
  </r>
  <r>
    <x v="121"/>
    <n v="510.49"/>
  </r>
  <r>
    <x v="122"/>
    <n v="510.49"/>
  </r>
  <r>
    <x v="123"/>
    <n v="511.4"/>
  </r>
  <r>
    <x v="124"/>
    <n v="511.51"/>
  </r>
  <r>
    <x v="125"/>
    <n v="511.51"/>
  </r>
  <r>
    <x v="126"/>
    <n v="511.51"/>
  </r>
  <r>
    <x v="127"/>
    <n v="512.28"/>
  </r>
  <r>
    <x v="128"/>
    <n v="512.64"/>
  </r>
  <r>
    <x v="129"/>
    <n v="513.78"/>
  </r>
  <r>
    <x v="130"/>
    <n v="513.95000000000005"/>
  </r>
  <r>
    <x v="131"/>
    <n v="514.66"/>
  </r>
  <r>
    <x v="132"/>
    <n v="514.66"/>
  </r>
  <r>
    <x v="133"/>
    <n v="514.66"/>
  </r>
  <r>
    <x v="134"/>
    <n v="514.29999999999995"/>
  </r>
  <r>
    <x v="135"/>
    <n v="512.70000000000005"/>
  </r>
  <r>
    <x v="136"/>
    <n v="511.92"/>
  </r>
  <r>
    <x v="137"/>
    <n v="511.39"/>
  </r>
  <r>
    <x v="138"/>
    <n v="512.59"/>
  </r>
  <r>
    <x v="139"/>
    <n v="512.59"/>
  </r>
  <r>
    <x v="140"/>
    <n v="512.59"/>
  </r>
  <r>
    <x v="141"/>
    <n v="513.21"/>
  </r>
  <r>
    <x v="142"/>
    <n v="514.73"/>
  </r>
  <r>
    <x v="143"/>
    <n v="516.36"/>
  </r>
  <r>
    <x v="144"/>
    <n v="518.25"/>
  </r>
  <r>
    <x v="145"/>
    <n v="520.29999999999995"/>
  </r>
  <r>
    <x v="146"/>
    <n v="520.29999999999995"/>
  </r>
  <r>
    <x v="147"/>
    <n v="520.29999999999995"/>
  </r>
  <r>
    <x v="148"/>
    <n v="522.78"/>
  </r>
  <r>
    <x v="149"/>
    <n v="525.04999999999995"/>
  </r>
  <r>
    <x v="150"/>
    <n v="527.11"/>
  </r>
  <r>
    <x v="151"/>
    <n v="528.54999999999995"/>
  </r>
  <r>
    <x v="152"/>
    <n v="532"/>
  </r>
  <r>
    <x v="153"/>
    <n v="532"/>
  </r>
  <r>
    <x v="154"/>
    <n v="532"/>
  </r>
  <r>
    <x v="155"/>
    <n v="534.54999999999995"/>
  </r>
  <r>
    <x v="156"/>
    <n v="532.62"/>
  </r>
  <r>
    <x v="157"/>
    <n v="531.96"/>
  </r>
  <r>
    <x v="158"/>
    <n v="532.61"/>
  </r>
  <r>
    <x v="159"/>
    <n v="534.84"/>
  </r>
  <r>
    <x v="160"/>
    <n v="534.84"/>
  </r>
  <r>
    <x v="161"/>
    <n v="534.84"/>
  </r>
  <r>
    <x v="162"/>
    <n v="535.4"/>
  </r>
  <r>
    <x v="163"/>
    <n v="530.09"/>
  </r>
  <r>
    <x v="164"/>
    <n v="527.98"/>
  </r>
  <r>
    <x v="165"/>
    <n v="527"/>
  </r>
  <r>
    <x v="166"/>
    <n v="526.12"/>
  </r>
  <r>
    <x v="167"/>
    <n v="526.12"/>
  </r>
  <r>
    <x v="168"/>
    <n v="526.12"/>
  </r>
  <r>
    <x v="169"/>
    <n v="522.25"/>
  </r>
  <r>
    <x v="170"/>
    <n v="521.65"/>
  </r>
  <r>
    <x v="171"/>
    <n v="521.86"/>
  </r>
  <r>
    <x v="172"/>
    <n v="523.65"/>
  </r>
  <r>
    <x v="173"/>
    <n v="526.72"/>
  </r>
  <r>
    <x v="174"/>
    <n v="526.72"/>
  </r>
  <r>
    <x v="175"/>
    <n v="526.72"/>
  </r>
  <r>
    <x v="176"/>
    <n v="527.62"/>
  </r>
  <r>
    <x v="177"/>
    <n v="525.04"/>
  </r>
  <r>
    <x v="178"/>
    <n v="526.85"/>
  </r>
  <r>
    <x v="179"/>
    <n v="528.79999999999995"/>
  </r>
  <r>
    <x v="180"/>
    <n v="530.41"/>
  </r>
  <r>
    <x v="181"/>
    <n v="530.41"/>
  </r>
  <r>
    <x v="182"/>
    <n v="530.41"/>
  </r>
  <r>
    <x v="183"/>
    <n v="529.51"/>
  </r>
  <r>
    <x v="184"/>
    <n v="529.42999999999995"/>
  </r>
  <r>
    <x v="185"/>
    <n v="529.09"/>
  </r>
  <r>
    <x v="186"/>
    <n v="531.39"/>
  </r>
  <r>
    <x v="187"/>
    <n v="534.95000000000005"/>
  </r>
  <r>
    <x v="188"/>
    <n v="534.95000000000005"/>
  </r>
  <r>
    <x v="189"/>
    <n v="534.95000000000005"/>
  </r>
  <r>
    <x v="190"/>
    <n v="534.29"/>
  </r>
  <r>
    <x v="191"/>
    <n v="529.11"/>
  </r>
  <r>
    <x v="192"/>
    <n v="527.52"/>
  </r>
  <r>
    <x v="193"/>
    <n v="525.92999999999995"/>
  </r>
  <r>
    <x v="194"/>
    <n v="527.05999999999995"/>
  </r>
  <r>
    <x v="195"/>
    <n v="527.05999999999995"/>
  </r>
  <r>
    <x v="196"/>
    <n v="527.05999999999995"/>
  </r>
  <r>
    <x v="197"/>
    <n v="526.05999999999995"/>
  </r>
  <r>
    <x v="198"/>
    <n v="525.84"/>
  </r>
  <r>
    <x v="199"/>
    <n v="525.82000000000005"/>
  </r>
  <r>
    <x v="200"/>
    <n v="527.79"/>
  </r>
  <r>
    <x v="201"/>
    <n v="531.35"/>
  </r>
  <r>
    <x v="202"/>
    <n v="531.35"/>
  </r>
  <r>
    <x v="203"/>
    <n v="531.35"/>
  </r>
  <r>
    <x v="204"/>
    <n v="531.04999999999995"/>
  </r>
  <r>
    <x v="205"/>
    <n v="529.67999999999995"/>
  </r>
  <r>
    <x v="206"/>
    <n v="527.85"/>
  </r>
  <r>
    <x v="207"/>
    <n v="527.85"/>
  </r>
  <r>
    <x v="208"/>
    <n v="527.73"/>
  </r>
  <r>
    <x v="209"/>
    <n v="527.73"/>
  </r>
  <r>
    <x v="210"/>
    <n v="527.73"/>
  </r>
  <r>
    <x v="211"/>
    <n v="527.17999999999995"/>
  </r>
  <r>
    <x v="212"/>
    <n v="527.61"/>
  </r>
  <r>
    <x v="213"/>
    <n v="525.72"/>
  </r>
  <r>
    <x v="214"/>
    <n v="526.17999999999995"/>
  </r>
  <r>
    <x v="215"/>
    <n v="526.17999999999995"/>
  </r>
  <r>
    <x v="216"/>
    <n v="526.17999999999995"/>
  </r>
  <r>
    <x v="217"/>
    <n v="526.17999999999995"/>
  </r>
  <r>
    <x v="218"/>
    <n v="526.38"/>
  </r>
  <r>
    <x v="219"/>
    <n v="526.14"/>
  </r>
  <r>
    <x v="220"/>
    <n v="529.11"/>
  </r>
  <r>
    <x v="221"/>
    <n v="531.96"/>
  </r>
  <r>
    <x v="222"/>
    <n v="531.94000000000005"/>
  </r>
  <r>
    <x v="223"/>
    <n v="531.94000000000005"/>
  </r>
  <r>
    <x v="224"/>
    <n v="531.94000000000005"/>
  </r>
  <r>
    <x v="225"/>
    <n v="529.87"/>
  </r>
  <r>
    <x v="226"/>
    <n v="525.94000000000005"/>
  </r>
  <r>
    <x v="227"/>
    <n v="523.09"/>
  </r>
  <r>
    <x v="228"/>
    <n v="523.09"/>
  </r>
  <r>
    <x v="229"/>
    <n v="521.48"/>
  </r>
  <r>
    <x v="230"/>
    <n v="521.48"/>
  </r>
  <r>
    <x v="231"/>
    <n v="521.48"/>
  </r>
  <r>
    <x v="232"/>
    <n v="521.47"/>
  </r>
  <r>
    <x v="233"/>
    <n v="523.65"/>
  </r>
  <r>
    <x v="234"/>
    <n v="524.97"/>
  </r>
  <r>
    <x v="235"/>
    <n v="524.72"/>
  </r>
  <r>
    <x v="236"/>
    <n v="527.09"/>
  </r>
  <r>
    <x v="237"/>
    <n v="527.09"/>
  </r>
  <r>
    <x v="238"/>
    <n v="527.09"/>
  </r>
  <r>
    <x v="239"/>
    <n v="526.38"/>
  </r>
  <r>
    <x v="240"/>
    <n v="522.79"/>
  </r>
  <r>
    <x v="241"/>
    <n v="521.9"/>
  </r>
  <r>
    <x v="242"/>
    <n v="521.72"/>
  </r>
  <r>
    <x v="243"/>
    <n v="521.66"/>
  </r>
  <r>
    <x v="244"/>
    <n v="521.66"/>
  </r>
  <r>
    <x v="245"/>
    <n v="521.66"/>
  </r>
  <r>
    <x v="246"/>
    <n v="521.47"/>
  </r>
  <r>
    <x v="247"/>
    <n v="521.14"/>
  </r>
  <r>
    <x v="248"/>
    <n v="522.46"/>
  </r>
  <r>
    <x v="249"/>
    <n v="524.77"/>
  </r>
  <r>
    <x v="250"/>
    <n v="524.64"/>
  </r>
  <r>
    <x v="251"/>
    <n v="524.64"/>
  </r>
  <r>
    <x v="252"/>
    <n v="524.64"/>
  </r>
  <r>
    <x v="253"/>
    <n v="521.71"/>
  </r>
  <r>
    <x v="254"/>
    <n v="521.64"/>
  </r>
  <r>
    <x v="255"/>
    <n v="519.70000000000005"/>
  </r>
  <r>
    <x v="256"/>
    <n v="520.5"/>
  </r>
  <r>
    <x v="257"/>
    <n v="522.64"/>
  </r>
  <r>
    <x v="258"/>
    <n v="522.64"/>
  </r>
  <r>
    <x v="259"/>
    <n v="522.64"/>
  </r>
  <r>
    <x v="260"/>
    <n v="519.79"/>
  </r>
  <r>
    <x v="261"/>
    <n v="520.29"/>
  </r>
  <r>
    <x v="262"/>
    <n v="521.67999999999995"/>
  </r>
  <r>
    <x v="263"/>
    <n v="522.13"/>
  </r>
  <r>
    <x v="264"/>
    <n v="521.30999999999995"/>
  </r>
  <r>
    <x v="265"/>
    <n v="521.30999999999995"/>
  </r>
  <r>
    <x v="266"/>
    <n v="521.30999999999995"/>
  </r>
  <r>
    <x v="267"/>
    <n v="521.75"/>
  </r>
  <r>
    <x v="268"/>
    <n v="521.28"/>
  </r>
  <r>
    <x v="269"/>
    <n v="521.12"/>
  </r>
  <r>
    <x v="270"/>
    <n v="521.44000000000005"/>
  </r>
  <r>
    <x v="271"/>
    <n v="522.87"/>
  </r>
  <r>
    <x v="272"/>
    <n v="522.87"/>
  </r>
  <r>
    <x v="273"/>
    <n v="522.87"/>
  </r>
  <r>
    <x v="274"/>
    <n v="521.69000000000005"/>
  </r>
  <r>
    <x v="275"/>
    <n v="520.71"/>
  </r>
  <r>
    <x v="276"/>
    <n v="520.58000000000004"/>
  </r>
  <r>
    <x v="277"/>
    <n v="521.89"/>
  </r>
  <r>
    <x v="278"/>
    <n v="522.37"/>
  </r>
  <r>
    <x v="279"/>
    <n v="522.37"/>
  </r>
  <r>
    <x v="280"/>
    <n v="522.37"/>
  </r>
  <r>
    <x v="281"/>
    <n v="521.5"/>
  </r>
  <r>
    <x v="282"/>
    <n v="519.38"/>
  </r>
  <r>
    <x v="283"/>
    <n v="519.16999999999996"/>
  </r>
  <r>
    <x v="284"/>
    <n v="518.79999999999995"/>
  </r>
  <r>
    <x v="285"/>
    <n v="517.94000000000005"/>
  </r>
  <r>
    <x v="286"/>
    <n v="517.94000000000005"/>
  </r>
  <r>
    <x v="287"/>
    <n v="517.94000000000005"/>
  </r>
  <r>
    <x v="288"/>
    <n v="517.75"/>
  </r>
  <r>
    <x v="289"/>
    <n v="518.05999999999995"/>
  </r>
  <r>
    <x v="290"/>
    <n v="517.30999999999995"/>
  </r>
  <r>
    <x v="291"/>
    <n v="517"/>
  </r>
  <r>
    <x v="292"/>
    <n v="517.26"/>
  </r>
  <r>
    <x v="293"/>
    <n v="517.26"/>
  </r>
  <r>
    <x v="294"/>
    <n v="517.26"/>
  </r>
  <r>
    <x v="295"/>
    <n v="517.44000000000005"/>
  </r>
  <r>
    <x v="296"/>
    <n v="518.79999999999995"/>
  </r>
  <r>
    <x v="297"/>
    <n v="518.21"/>
  </r>
  <r>
    <x v="298"/>
    <n v="517"/>
  </r>
  <r>
    <x v="299"/>
    <n v="517.48"/>
  </r>
  <r>
    <x v="300"/>
    <n v="517.48"/>
  </r>
  <r>
    <x v="301"/>
    <n v="517.48"/>
  </r>
  <r>
    <x v="302"/>
    <n v="516.55999999999995"/>
  </r>
  <r>
    <x v="303"/>
    <n v="515.51"/>
  </r>
  <r>
    <x v="304"/>
    <n v="515.61"/>
  </r>
  <r>
    <x v="305"/>
    <n v="515.48"/>
  </r>
  <r>
    <x v="306"/>
    <n v="516.36"/>
  </r>
  <r>
    <x v="307"/>
    <n v="516.36"/>
  </r>
  <r>
    <x v="308"/>
    <n v="516.36"/>
  </r>
  <r>
    <x v="309"/>
    <n v="515.04999999999995"/>
  </r>
  <r>
    <x v="310"/>
    <n v="514.36"/>
  </r>
  <r>
    <x v="311"/>
    <n v="513.47"/>
  </r>
  <r>
    <x v="312"/>
    <n v="514.55999999999995"/>
  </r>
  <r>
    <x v="313"/>
    <n v="516.4"/>
  </r>
  <r>
    <x v="314"/>
    <n v="516.4"/>
  </r>
  <r>
    <x v="315"/>
    <n v="516.4"/>
  </r>
  <r>
    <x v="316"/>
    <n v="514.76"/>
  </r>
  <r>
    <x v="317"/>
    <n v="513.45000000000005"/>
  </r>
  <r>
    <x v="318"/>
    <n v="512.27"/>
  </r>
  <r>
    <x v="319"/>
    <n v="511.85"/>
  </r>
  <r>
    <x v="320"/>
    <n v="511.52"/>
  </r>
  <r>
    <x v="321"/>
    <n v="511.52"/>
  </r>
  <r>
    <x v="322"/>
    <n v="511.52"/>
  </r>
  <r>
    <x v="323"/>
    <n v="511.03"/>
  </r>
  <r>
    <x v="324"/>
    <n v="510.38"/>
  </r>
  <r>
    <x v="325"/>
    <n v="511.54"/>
  </r>
  <r>
    <x v="326"/>
    <n v="513.54"/>
  </r>
  <r>
    <x v="327"/>
    <n v="513.78"/>
  </r>
  <r>
    <x v="328"/>
    <n v="513.78"/>
  </r>
  <r>
    <x v="329"/>
    <n v="513.78"/>
  </r>
  <r>
    <x v="330"/>
    <n v="512.33000000000004"/>
  </r>
  <r>
    <x v="331"/>
    <n v="513.41999999999996"/>
  </r>
  <r>
    <x v="332"/>
    <n v="513.16999999999996"/>
  </r>
  <r>
    <x v="333"/>
    <n v="511.86"/>
  </r>
  <r>
    <x v="334"/>
    <n v="511.54"/>
  </r>
  <r>
    <x v="335"/>
    <n v="511.54"/>
  </r>
  <r>
    <x v="336"/>
    <n v="511.54"/>
  </r>
  <r>
    <x v="337"/>
    <n v="510.71"/>
  </r>
  <r>
    <x v="338"/>
    <n v="508.35"/>
  </r>
  <r>
    <x v="339"/>
    <n v="508.64"/>
  </r>
  <r>
    <x v="340"/>
    <n v="507.09"/>
  </r>
  <r>
    <x v="341"/>
    <n v="507.78"/>
  </r>
  <r>
    <x v="342"/>
    <n v="507.78"/>
  </r>
  <r>
    <x v="343"/>
    <n v="507.78"/>
  </r>
  <r>
    <x v="344"/>
    <n v="506.59"/>
  </r>
  <r>
    <x v="345"/>
    <n v="506.75"/>
  </r>
  <r>
    <x v="346"/>
    <n v="506.69"/>
  </r>
  <r>
    <x v="347"/>
    <n v="507.66"/>
  </r>
  <r>
    <x v="348"/>
    <n v="507.33"/>
  </r>
  <r>
    <x v="349"/>
    <n v="507.33"/>
  </r>
  <r>
    <x v="350"/>
    <n v="507.33"/>
  </r>
  <r>
    <x v="351"/>
    <n v="505.79"/>
  </r>
  <r>
    <x v="352"/>
    <n v="506.35"/>
  </r>
  <r>
    <x v="353"/>
    <n v="507.5"/>
  </r>
  <r>
    <x v="354"/>
    <n v="510.32"/>
  </r>
  <r>
    <x v="355"/>
    <n v="509.95"/>
  </r>
  <r>
    <x v="356"/>
    <n v="509.95"/>
  </r>
  <r>
    <x v="357"/>
    <n v="509.95"/>
  </r>
  <r>
    <x v="358"/>
    <n v="509.57"/>
  </r>
  <r>
    <x v="359"/>
    <n v="510.05"/>
  </r>
  <r>
    <x v="360"/>
    <n v="510.05"/>
  </r>
  <r>
    <x v="361"/>
    <n v="511.9"/>
  </r>
  <r>
    <x v="362"/>
    <n v="512.75"/>
  </r>
  <r>
    <x v="363"/>
    <n v="512.75"/>
  </r>
  <r>
    <x v="364"/>
    <n v="512.75"/>
  </r>
  <r>
    <x v="365"/>
    <n v="512.73"/>
  </r>
  <r>
    <x v="366"/>
    <n v="512.73"/>
  </r>
  <r>
    <x v="367"/>
    <n v="512.73"/>
  </r>
  <r>
    <x v="368"/>
    <n v="513.23"/>
  </r>
  <r>
    <x v="369"/>
    <n v="511.93"/>
  </r>
  <r>
    <x v="370"/>
    <n v="511.93"/>
  </r>
  <r>
    <x v="371"/>
    <n v="511.93"/>
  </r>
  <r>
    <x v="372"/>
    <n v="510.95"/>
  </r>
  <r>
    <x v="373"/>
    <n v="509.63"/>
  </r>
  <r>
    <x v="374"/>
    <n v="508.45"/>
  </r>
  <r>
    <x v="375"/>
    <n v="507.37"/>
  </r>
  <r>
    <x v="376"/>
    <n v="507.18"/>
  </r>
  <r>
    <x v="377"/>
    <n v="507.18"/>
  </r>
  <r>
    <x v="378"/>
    <n v="507.18"/>
  </r>
  <r>
    <x v="379"/>
    <n v="506.96"/>
  </r>
  <r>
    <x v="380"/>
    <n v="505"/>
  </r>
  <r>
    <x v="381"/>
    <n v="504.27"/>
  </r>
  <r>
    <x v="382"/>
    <n v="505.52"/>
  </r>
  <r>
    <x v="383"/>
    <n v="506.23"/>
  </r>
  <r>
    <x v="384"/>
    <n v="506.23"/>
  </r>
  <r>
    <x v="385"/>
    <n v="506.23"/>
  </r>
  <r>
    <x v="386"/>
    <n v="506.58"/>
  </r>
  <r>
    <x v="387"/>
    <n v="506.87"/>
  </r>
  <r>
    <x v="388"/>
    <n v="507.25"/>
  </r>
  <r>
    <x v="389"/>
    <n v="507.52"/>
  </r>
  <r>
    <x v="390"/>
    <n v="509.42"/>
  </r>
  <r>
    <x v="391"/>
    <n v="509.42"/>
  </r>
  <r>
    <x v="392"/>
    <n v="509.42"/>
  </r>
  <r>
    <x v="393"/>
    <n v="510.37"/>
  </r>
  <r>
    <x v="394"/>
    <n v="509.26"/>
  </r>
  <r>
    <x v="395"/>
    <n v="509.28"/>
  </r>
  <r>
    <x v="396"/>
    <n v="510.66"/>
  </r>
  <r>
    <x v="397"/>
    <n v="511.38"/>
  </r>
  <r>
    <x v="398"/>
    <n v="511.38"/>
  </r>
  <r>
    <x v="399"/>
    <n v="511.38"/>
  </r>
  <r>
    <x v="400"/>
    <n v="510.99"/>
  </r>
  <r>
    <x v="401"/>
    <n v="511.14"/>
  </r>
  <r>
    <x v="402"/>
    <n v="511.48"/>
  </r>
  <r>
    <x v="403"/>
    <n v="511.34"/>
  </r>
  <r>
    <x v="404"/>
    <n v="511.67"/>
  </r>
  <r>
    <x v="405"/>
    <n v="511.67"/>
  </r>
  <r>
    <x v="406"/>
    <n v="511.67"/>
  </r>
  <r>
    <x v="407"/>
    <n v="510.76"/>
  </r>
  <r>
    <x v="408"/>
    <n v="510.14"/>
  </r>
  <r>
    <x v="409"/>
    <n v="509.92"/>
  </r>
  <r>
    <x v="410"/>
    <n v="508.98"/>
  </r>
  <r>
    <x v="411"/>
    <n v="509.5"/>
  </r>
  <r>
    <x v="412"/>
    <n v="509.5"/>
  </r>
  <r>
    <x v="413"/>
    <n v="509.5"/>
  </r>
  <r>
    <x v="414"/>
    <n v="508.18"/>
  </r>
  <r>
    <x v="415"/>
    <n v="508.54"/>
  </r>
  <r>
    <x v="416"/>
    <n v="507.83"/>
  </r>
  <r>
    <x v="417"/>
    <n v="508.61"/>
  </r>
  <r>
    <x v="418"/>
    <n v="508.9"/>
  </r>
  <r>
    <x v="419"/>
    <n v="508.9"/>
  </r>
  <r>
    <x v="420"/>
    <n v="508.9"/>
  </r>
  <r>
    <x v="421"/>
    <n v="508.42"/>
  </r>
  <r>
    <x v="422"/>
    <n v="509.18"/>
  </r>
  <r>
    <x v="423"/>
    <n v="509.28"/>
  </r>
  <r>
    <x v="424"/>
    <n v="508.72"/>
  </r>
  <r>
    <x v="425"/>
    <n v="508.15"/>
  </r>
  <r>
    <x v="426"/>
    <n v="508.15"/>
  </r>
  <r>
    <x v="427"/>
    <n v="508.15"/>
  </r>
  <r>
    <x v="428"/>
    <n v="506.27"/>
  </r>
  <r>
    <x v="429"/>
    <n v="507.54"/>
  </r>
  <r>
    <x v="430"/>
    <n v="508.52"/>
  </r>
  <r>
    <x v="431"/>
    <n v="507.42"/>
  </r>
  <r>
    <x v="432"/>
    <n v="508.44"/>
  </r>
  <r>
    <x v="433"/>
    <n v="508.44"/>
  </r>
  <r>
    <x v="434"/>
    <n v="508.44"/>
  </r>
  <r>
    <x v="435"/>
    <n v="506.04"/>
  </r>
  <r>
    <x v="436"/>
    <n v="503.71"/>
  </r>
  <r>
    <x v="437"/>
    <n v="502.55"/>
  </r>
  <r>
    <x v="438"/>
    <n v="502.07"/>
  </r>
  <r>
    <x v="439"/>
    <n v="501.96"/>
  </r>
  <r>
    <x v="440"/>
    <n v="501.96"/>
  </r>
  <r>
    <x v="441"/>
    <n v="501.96"/>
  </r>
  <r>
    <x v="442"/>
    <n v="501.6"/>
  </r>
  <r>
    <x v="443"/>
    <n v="501.68"/>
  </r>
  <r>
    <x v="444"/>
    <n v="501.74"/>
  </r>
  <r>
    <x v="445"/>
    <n v="503.04"/>
  </r>
  <r>
    <x v="446"/>
    <n v="502.76"/>
  </r>
  <r>
    <x v="447"/>
    <n v="502.76"/>
  </r>
  <r>
    <x v="448"/>
    <n v="502.76"/>
  </r>
  <r>
    <x v="449"/>
    <n v="501.79"/>
  </r>
  <r>
    <x v="450"/>
    <n v="501.15"/>
  </r>
  <r>
    <x v="451"/>
    <n v="501.88"/>
  </r>
  <r>
    <x v="452"/>
    <n v="502.95"/>
  </r>
  <r>
    <x v="453"/>
    <n v="504.21"/>
  </r>
  <r>
    <x v="454"/>
    <n v="504.21"/>
  </r>
  <r>
    <x v="455"/>
    <n v="504.21"/>
  </r>
  <r>
    <x v="456"/>
    <n v="504.07"/>
  </r>
  <r>
    <x v="457"/>
    <n v="505.82"/>
  </r>
  <r>
    <x v="458"/>
    <n v="506.3"/>
  </r>
  <r>
    <x v="459"/>
    <n v="508.27"/>
  </r>
  <r>
    <x v="460"/>
    <n v="510.91"/>
  </r>
  <r>
    <x v="461"/>
    <n v="510.91"/>
  </r>
  <r>
    <x v="462"/>
    <n v="510.91"/>
  </r>
  <r>
    <x v="463"/>
    <n v="511.19"/>
  </r>
  <r>
    <x v="464"/>
    <n v="512.14"/>
  </r>
  <r>
    <x v="465"/>
    <n v="512.07000000000005"/>
  </r>
  <r>
    <x v="466"/>
    <n v="510.17"/>
  </r>
  <r>
    <x v="467"/>
    <n v="510.17"/>
  </r>
  <r>
    <x v="468"/>
    <n v="510.17"/>
  </r>
  <r>
    <x v="469"/>
    <n v="510.17"/>
  </r>
  <r>
    <x v="470"/>
    <n v="508.21"/>
  </r>
  <r>
    <x v="471"/>
    <n v="506.74"/>
  </r>
  <r>
    <x v="472"/>
    <n v="506.48"/>
  </r>
  <r>
    <x v="473"/>
    <n v="506.48"/>
  </r>
  <r>
    <x v="474"/>
    <n v="506.48"/>
  </r>
  <r>
    <x v="475"/>
    <n v="506.48"/>
  </r>
  <r>
    <x v="476"/>
    <n v="506.48"/>
  </r>
  <r>
    <x v="477"/>
    <n v="505.22"/>
  </r>
  <r>
    <x v="478"/>
    <n v="505.68"/>
  </r>
  <r>
    <x v="479"/>
    <n v="507.34"/>
  </r>
  <r>
    <x v="480"/>
    <n v="508.52"/>
  </r>
  <r>
    <x v="481"/>
    <n v="508.96"/>
  </r>
  <r>
    <x v="482"/>
    <n v="508.96"/>
  </r>
  <r>
    <x v="483"/>
    <n v="508.96"/>
  </r>
  <r>
    <x v="484"/>
    <n v="508.4"/>
  </r>
  <r>
    <x v="485"/>
    <n v="508"/>
  </r>
  <r>
    <x v="486"/>
    <n v="508.67"/>
  </r>
  <r>
    <x v="487"/>
    <n v="508.67"/>
  </r>
  <r>
    <x v="488"/>
    <n v="509.57"/>
  </r>
  <r>
    <x v="489"/>
    <n v="509.57"/>
  </r>
  <r>
    <x v="490"/>
    <n v="509.57"/>
  </r>
  <r>
    <x v="491"/>
    <n v="508.82"/>
  </r>
  <r>
    <x v="492"/>
    <n v="510.43"/>
  </r>
  <r>
    <x v="493"/>
    <n v="510.86"/>
  </r>
  <r>
    <x v="494"/>
    <n v="510.6"/>
  </r>
  <r>
    <x v="495"/>
    <n v="510.76"/>
  </r>
  <r>
    <x v="496"/>
    <n v="510.76"/>
  </r>
  <r>
    <x v="497"/>
    <n v="510.76"/>
  </r>
  <r>
    <x v="498"/>
    <n v="509.64"/>
  </r>
  <r>
    <x v="499"/>
    <n v="508.35"/>
  </r>
  <r>
    <x v="500"/>
    <n v="507.48"/>
  </r>
  <r>
    <x v="501"/>
    <n v="506.43"/>
  </r>
  <r>
    <x v="502"/>
    <n v="506.41"/>
  </r>
  <r>
    <x v="503"/>
    <n v="506.41"/>
  </r>
  <r>
    <x v="504"/>
    <n v="506.41"/>
  </r>
  <r>
    <x v="505"/>
    <n v="505.96"/>
  </r>
  <r>
    <x v="506"/>
    <n v="507.18"/>
  </r>
  <r>
    <x v="507"/>
    <n v="509.05"/>
  </r>
  <r>
    <x v="508"/>
    <n v="510.58"/>
  </r>
  <r>
    <x v="509"/>
    <n v="511.06"/>
  </r>
  <r>
    <x v="510"/>
    <n v="511.06"/>
  </r>
  <r>
    <x v="511"/>
    <n v="511.06"/>
  </r>
  <r>
    <x v="512"/>
    <n v="510.92"/>
  </r>
  <r>
    <x v="513"/>
    <n v="511.07"/>
  </r>
  <r>
    <x v="514"/>
    <n v="511.22"/>
  </r>
  <r>
    <x v="515"/>
    <n v="509.9"/>
  </r>
  <r>
    <x v="516"/>
    <n v="509.94"/>
  </r>
  <r>
    <x v="517"/>
    <n v="509.94"/>
  </r>
  <r>
    <x v="518"/>
    <n v="509.94"/>
  </r>
  <r>
    <x v="519"/>
    <n v="509.33"/>
  </r>
  <r>
    <x v="520"/>
    <n v="510.67"/>
  </r>
  <r>
    <x v="521"/>
    <n v="512.02"/>
  </r>
  <r>
    <x v="522"/>
    <n v="511.84"/>
  </r>
  <r>
    <x v="523"/>
    <n v="510.68"/>
  </r>
  <r>
    <x v="524"/>
    <n v="510.68"/>
  </r>
  <r>
    <x v="525"/>
    <n v="510.68"/>
  </r>
  <r>
    <x v="526"/>
    <n v="509.32"/>
  </r>
  <r>
    <x v="527"/>
    <n v="508.46"/>
  </r>
  <r>
    <x v="528"/>
    <n v="505.81"/>
  </r>
  <r>
    <x v="529"/>
    <n v="505.64"/>
  </r>
  <r>
    <x v="530"/>
    <n v="505.28"/>
  </r>
  <r>
    <x v="531"/>
    <n v="505.28"/>
  </r>
  <r>
    <x v="532"/>
    <n v="505.28"/>
  </r>
  <r>
    <x v="533"/>
    <n v="505.4"/>
  </r>
  <r>
    <x v="534"/>
    <n v="506.27"/>
  </r>
  <r>
    <x v="535"/>
    <n v="507.95"/>
  </r>
  <r>
    <x v="536"/>
    <n v="509.2"/>
  </r>
  <r>
    <x v="537"/>
    <n v="510.37"/>
  </r>
  <r>
    <x v="538"/>
    <n v="510.37"/>
  </r>
  <r>
    <x v="539"/>
    <n v="510.37"/>
  </r>
  <r>
    <x v="540"/>
    <n v="510.35"/>
  </r>
  <r>
    <x v="541"/>
    <n v="508.2"/>
  </r>
  <r>
    <x v="542"/>
    <n v="507.19"/>
  </r>
  <r>
    <x v="543"/>
    <n v="507.73"/>
  </r>
  <r>
    <x v="544"/>
    <n v="508.28"/>
  </r>
  <r>
    <x v="545"/>
    <n v="508.28"/>
  </r>
  <r>
    <x v="546"/>
    <n v="508.28"/>
  </r>
  <r>
    <x v="547"/>
    <n v="508.85"/>
  </r>
  <r>
    <x v="548"/>
    <n v="507.92"/>
  </r>
  <r>
    <x v="549"/>
    <n v="507.6"/>
  </r>
  <r>
    <x v="550"/>
    <n v="507.31"/>
  </r>
  <r>
    <x v="551"/>
    <n v="508.24"/>
  </r>
  <r>
    <x v="552"/>
    <n v="508.24"/>
  </r>
  <r>
    <x v="553"/>
    <n v="508.24"/>
  </r>
  <r>
    <x v="554"/>
    <n v="506.68"/>
  </r>
  <r>
    <x v="555"/>
    <n v="505.82"/>
  </r>
  <r>
    <x v="556"/>
    <n v="506.64"/>
  </r>
  <r>
    <x v="557"/>
    <n v="508.03"/>
  </r>
  <r>
    <x v="558"/>
    <n v="507.22"/>
  </r>
  <r>
    <x v="559"/>
    <n v="507.22"/>
  </r>
  <r>
    <x v="560"/>
    <n v="507.22"/>
  </r>
  <r>
    <x v="561"/>
    <n v="505.78"/>
  </r>
  <r>
    <x v="562"/>
    <n v="505.22"/>
  </r>
  <r>
    <x v="563"/>
    <n v="506.27"/>
  </r>
  <r>
    <x v="564"/>
    <n v="506.17"/>
  </r>
  <r>
    <x v="565"/>
    <n v="506.08"/>
  </r>
  <r>
    <x v="566"/>
    <n v="506.08"/>
  </r>
  <r>
    <x v="567"/>
    <n v="506.08"/>
  </r>
  <r>
    <x v="568"/>
    <n v="506.11"/>
  </r>
  <r>
    <x v="569"/>
    <n v="506.4"/>
  </r>
  <r>
    <x v="570"/>
    <n v="507.83"/>
  </r>
  <r>
    <x v="571"/>
    <n v="507.78"/>
  </r>
  <r>
    <x v="572"/>
    <n v="507.78"/>
  </r>
  <r>
    <x v="573"/>
    <n v="507.78"/>
  </r>
  <r>
    <x v="574"/>
    <n v="507.78"/>
  </r>
  <r>
    <x v="575"/>
    <n v="508.75"/>
  </r>
  <r>
    <x v="576"/>
    <n v="508.81"/>
  </r>
  <r>
    <x v="577"/>
    <n v="508.35"/>
  </r>
  <r>
    <x v="578"/>
    <n v="508.57"/>
  </r>
  <r>
    <x v="579"/>
    <n v="509.73"/>
  </r>
  <r>
    <x v="580"/>
    <n v="509.73"/>
  </r>
  <r>
    <x v="581"/>
    <n v="509.73"/>
  </r>
  <r>
    <x v="582"/>
    <n v="509.03"/>
  </r>
  <r>
    <x v="583"/>
    <n v="508.86"/>
  </r>
  <r>
    <x v="584"/>
    <n v="509.54"/>
  </r>
  <r>
    <x v="585"/>
    <n v="509.47"/>
  </r>
  <r>
    <x v="586"/>
    <n v="508.87"/>
  </r>
  <r>
    <x v="587"/>
    <n v="508.87"/>
  </r>
  <r>
    <x v="588"/>
    <n v="508.87"/>
  </r>
  <r>
    <x v="589"/>
    <n v="508.07"/>
  </r>
  <r>
    <x v="590"/>
    <n v="507.49"/>
  </r>
  <r>
    <x v="591"/>
    <n v="507.08"/>
  </r>
  <r>
    <x v="592"/>
    <n v="506.21"/>
  </r>
  <r>
    <x v="593"/>
    <n v="506.21"/>
  </r>
  <r>
    <x v="594"/>
    <n v="506.21"/>
  </r>
  <r>
    <x v="595"/>
    <n v="506.21"/>
  </r>
  <r>
    <x v="596"/>
    <n v="505.9"/>
  </r>
  <r>
    <x v="597"/>
    <n v="506.88"/>
  </r>
  <r>
    <x v="598"/>
    <n v="506.47"/>
  </r>
  <r>
    <x v="599"/>
    <n v="505.01"/>
  </r>
  <r>
    <x v="600"/>
    <n v="505.72"/>
  </r>
  <r>
    <x v="601"/>
    <n v="505.72"/>
  </r>
  <r>
    <x v="602"/>
    <n v="505.72"/>
  </r>
  <r>
    <x v="603"/>
    <n v="506.84"/>
  </r>
  <r>
    <x v="604"/>
    <n v="507.88"/>
  </r>
  <r>
    <x v="605"/>
    <n v="508.18"/>
  </r>
  <r>
    <x v="606"/>
    <n v="508.23"/>
  </r>
  <r>
    <x v="607"/>
    <n v="509.25"/>
  </r>
  <r>
    <x v="608"/>
    <n v="509.25"/>
  </r>
  <r>
    <x v="609"/>
    <n v="509.25"/>
  </r>
  <r>
    <x v="610"/>
    <n v="509.04"/>
  </r>
  <r>
    <x v="611"/>
    <n v="510.27"/>
  </r>
  <r>
    <x v="612"/>
    <n v="510.01"/>
  </r>
  <r>
    <x v="613"/>
    <n v="509.85"/>
  </r>
  <r>
    <x v="614"/>
    <n v="509.6"/>
  </r>
  <r>
    <x v="615"/>
    <n v="509.6"/>
  </r>
  <r>
    <x v="616"/>
    <n v="509.6"/>
  </r>
  <r>
    <x v="617"/>
    <n v="508.7"/>
  </r>
  <r>
    <x v="618"/>
    <n v="507.03"/>
  </r>
  <r>
    <x v="619"/>
    <n v="507.47"/>
  </r>
  <r>
    <x v="620"/>
    <n v="506.6"/>
  </r>
  <r>
    <x v="621"/>
    <n v="506.98"/>
  </r>
  <r>
    <x v="622"/>
    <n v="506.98"/>
  </r>
  <r>
    <x v="623"/>
    <n v="506.98"/>
  </r>
  <r>
    <x v="624"/>
    <n v="506.98"/>
  </r>
  <r>
    <x v="625"/>
    <n v="506.53"/>
  </r>
  <r>
    <x v="626"/>
    <n v="506.26"/>
  </r>
  <r>
    <x v="627"/>
    <n v="506.21"/>
  </r>
  <r>
    <x v="628"/>
    <n v="506.52"/>
  </r>
  <r>
    <x v="629"/>
    <n v="506.52"/>
  </r>
  <r>
    <x v="630"/>
    <n v="506.52"/>
  </r>
  <r>
    <x v="631"/>
    <n v="506.39"/>
  </r>
  <r>
    <x v="632"/>
    <n v="506.42"/>
  </r>
  <r>
    <x v="633"/>
    <n v="507.52"/>
  </r>
  <r>
    <x v="634"/>
    <n v="506.38"/>
  </r>
  <r>
    <x v="635"/>
    <n v="506.33"/>
  </r>
  <r>
    <x v="636"/>
    <n v="506.33"/>
  </r>
  <r>
    <x v="637"/>
    <n v="506.33"/>
  </r>
  <r>
    <x v="638"/>
    <n v="506"/>
  </r>
  <r>
    <x v="639"/>
    <n v="506.87"/>
  </r>
  <r>
    <x v="640"/>
    <n v="506.56"/>
  </r>
  <r>
    <x v="641"/>
    <n v="507.65"/>
  </r>
  <r>
    <x v="642"/>
    <n v="507.98"/>
  </r>
  <r>
    <x v="643"/>
    <n v="507.98"/>
  </r>
  <r>
    <x v="644"/>
    <n v="507.98"/>
  </r>
  <r>
    <x v="645"/>
    <n v="508.22"/>
  </r>
  <r>
    <x v="646"/>
    <n v="508.46"/>
  </r>
  <r>
    <x v="647"/>
    <n v="506.84"/>
  </r>
  <r>
    <x v="648"/>
    <n v="506.35"/>
  </r>
  <r>
    <x v="649"/>
    <n v="506.99"/>
  </r>
  <r>
    <x v="650"/>
    <n v="506.99"/>
  </r>
  <r>
    <x v="651"/>
    <n v="506.99"/>
  </r>
  <r>
    <x v="652"/>
    <n v="507.31"/>
  </r>
  <r>
    <x v="653"/>
    <n v="505.55"/>
  </r>
  <r>
    <x v="654"/>
    <n v="504.9"/>
  </r>
  <r>
    <x v="655"/>
    <n v="504.84"/>
  </r>
  <r>
    <x v="656"/>
    <n v="504.94"/>
  </r>
  <r>
    <x v="657"/>
    <n v="504.94"/>
  </r>
  <r>
    <x v="658"/>
    <n v="504.94"/>
  </r>
  <r>
    <x v="659"/>
    <n v="505.3"/>
  </r>
  <r>
    <x v="660"/>
    <n v="505.94"/>
  </r>
  <r>
    <x v="661"/>
    <n v="506.5"/>
  </r>
  <r>
    <x v="662"/>
    <n v="504.96"/>
  </r>
  <r>
    <x v="663"/>
    <n v="504.06"/>
  </r>
  <r>
    <x v="664"/>
    <n v="504.06"/>
  </r>
  <r>
    <x v="665"/>
    <n v="504.06"/>
  </r>
  <r>
    <x v="666"/>
    <n v="503.85"/>
  </r>
  <r>
    <x v="667"/>
    <n v="504.58"/>
  </r>
  <r>
    <x v="668"/>
    <n v="505.03"/>
  </r>
  <r>
    <x v="669"/>
    <n v="504.44"/>
  </r>
  <r>
    <x v="670"/>
    <n v="504.73"/>
  </r>
  <r>
    <x v="671"/>
    <n v="504.73"/>
  </r>
  <r>
    <x v="672"/>
    <n v="504.73"/>
  </r>
  <r>
    <x v="673"/>
    <n v="504.69"/>
  </r>
  <r>
    <x v="674"/>
    <n v="505.44"/>
  </r>
  <r>
    <x v="675"/>
    <n v="505.87"/>
  </r>
  <r>
    <x v="676"/>
    <n v="506.38"/>
  </r>
  <r>
    <x v="677"/>
    <n v="505.46"/>
  </r>
  <r>
    <x v="678"/>
    <n v="505.46"/>
  </r>
  <r>
    <x v="679"/>
    <n v="505.46"/>
  </r>
  <r>
    <x v="680"/>
    <n v="504.88"/>
  </r>
  <r>
    <x v="681"/>
    <n v="505.39"/>
  </r>
  <r>
    <x v="682"/>
    <n v="503.92"/>
  </r>
  <r>
    <x v="683"/>
    <n v="502.57"/>
  </r>
  <r>
    <x v="684"/>
    <n v="501.38"/>
  </r>
  <r>
    <x v="685"/>
    <n v="501.38"/>
  </r>
  <r>
    <x v="686"/>
    <n v="501.38"/>
  </r>
  <r>
    <x v="687"/>
    <n v="501.83"/>
  </r>
  <r>
    <x v="688"/>
    <n v="501.83"/>
  </r>
  <r>
    <x v="689"/>
    <n v="502.16"/>
  </r>
  <r>
    <x v="690"/>
    <n v="502.34"/>
  </r>
  <r>
    <x v="691"/>
    <n v="501.6"/>
  </r>
  <r>
    <x v="692"/>
    <n v="501.6"/>
  </r>
  <r>
    <x v="693"/>
    <n v="501.6"/>
  </r>
  <r>
    <x v="694"/>
    <n v="499.82"/>
  </r>
  <r>
    <x v="695"/>
    <n v="498.4"/>
  </r>
  <r>
    <x v="696"/>
    <n v="497.9"/>
  </r>
  <r>
    <x v="697"/>
    <n v="496.59"/>
  </r>
  <r>
    <x v="698"/>
    <n v="496.39"/>
  </r>
  <r>
    <x v="699"/>
    <n v="496.39"/>
  </r>
  <r>
    <x v="700"/>
    <n v="496.39"/>
  </r>
  <r>
    <x v="701"/>
    <n v="496.39"/>
  </r>
  <r>
    <x v="702"/>
    <n v="494.36"/>
  </r>
  <r>
    <x v="703"/>
    <n v="492.91"/>
  </r>
  <r>
    <x v="704"/>
    <n v="490.78"/>
  </r>
  <r>
    <x v="705"/>
    <n v="491.54"/>
  </r>
  <r>
    <x v="706"/>
    <n v="491.54"/>
  </r>
  <r>
    <x v="707"/>
    <n v="491.54"/>
  </r>
  <r>
    <x v="708"/>
    <n v="492.57"/>
  </r>
  <r>
    <x v="709"/>
    <n v="495.26"/>
  </r>
  <r>
    <x v="710"/>
    <n v="501.76"/>
  </r>
  <r>
    <x v="711"/>
    <n v="502.14"/>
  </r>
  <r>
    <x v="712"/>
    <n v="500.49"/>
  </r>
  <r>
    <x v="713"/>
    <n v="500.49"/>
  </r>
  <r>
    <x v="714"/>
    <n v="500.49"/>
  </r>
  <r>
    <x v="715"/>
    <n v="498.48"/>
  </r>
  <r>
    <x v="716"/>
    <n v="498.03"/>
  </r>
  <r>
    <x v="717"/>
    <n v="498.51"/>
  </r>
  <r>
    <x v="718"/>
    <n v="497.59"/>
  </r>
  <r>
    <x v="719"/>
    <n v="498.05"/>
  </r>
  <r>
    <x v="720"/>
    <n v="498.05"/>
  </r>
  <r>
    <x v="721"/>
    <n v="498.05"/>
  </r>
  <r>
    <x v="722"/>
    <n v="498.19"/>
  </r>
  <r>
    <x v="723"/>
    <n v="499.78"/>
  </r>
  <r>
    <x v="724"/>
    <n v="501.93"/>
  </r>
  <r>
    <x v="725"/>
    <n v="501.93"/>
  </r>
  <r>
    <x v="726"/>
    <n v="500.27"/>
  </r>
  <r>
    <x v="727"/>
    <n v="500.27"/>
  </r>
  <r>
    <x v="728"/>
    <n v="500.27"/>
  </r>
  <r>
    <x v="729"/>
    <n v="501.08"/>
  </r>
  <r>
    <x v="730"/>
    <n v="501.42"/>
  </r>
  <r>
    <x v="731"/>
    <n v="501.42"/>
  </r>
  <r>
    <x v="732"/>
    <n v="501.42"/>
  </r>
  <r>
    <x v="733"/>
    <n v="502.64"/>
  </r>
  <r>
    <x v="734"/>
    <n v="502.64"/>
  </r>
  <r>
    <x v="735"/>
    <n v="502.64"/>
  </r>
  <r>
    <x v="736"/>
    <n v="500.4"/>
  </r>
  <r>
    <x v="737"/>
    <n v="500.57"/>
  </r>
  <r>
    <x v="738"/>
    <n v="500.15"/>
  </r>
  <r>
    <x v="739"/>
    <n v="500.23"/>
  </r>
  <r>
    <x v="740"/>
    <n v="501.15"/>
  </r>
  <r>
    <x v="741"/>
    <n v="501.15"/>
  </r>
  <r>
    <x v="742"/>
    <n v="501.15"/>
  </r>
  <r>
    <x v="743"/>
    <n v="499.84"/>
  </r>
  <r>
    <x v="744"/>
    <n v="496.82"/>
  </r>
  <r>
    <x v="745"/>
    <n v="495.38"/>
  </r>
  <r>
    <x v="746"/>
    <n v="491.51"/>
  </r>
  <r>
    <x v="747"/>
    <n v="490.28"/>
  </r>
  <r>
    <x v="748"/>
    <n v="490.28"/>
  </r>
  <r>
    <x v="749"/>
    <n v="490.28"/>
  </r>
  <r>
    <x v="750"/>
    <n v="490.87"/>
  </r>
  <r>
    <x v="751"/>
    <n v="492.44"/>
  </r>
  <r>
    <x v="752"/>
    <n v="494.27"/>
  </r>
  <r>
    <x v="753"/>
    <n v="497.49"/>
  </r>
  <r>
    <x v="754"/>
    <n v="500.22"/>
  </r>
  <r>
    <x v="755"/>
    <n v="500.22"/>
  </r>
  <r>
    <x v="756"/>
    <n v="500.22"/>
  </r>
  <r>
    <x v="757"/>
    <n v="500.8"/>
  </r>
  <r>
    <x v="758"/>
    <n v="496.41"/>
  </r>
  <r>
    <x v="759"/>
    <n v="496.55"/>
  </r>
  <r>
    <x v="760"/>
    <n v="497.46"/>
  </r>
  <r>
    <x v="761"/>
    <n v="499.37"/>
  </r>
  <r>
    <x v="762"/>
    <n v="499.37"/>
  </r>
  <r>
    <x v="763"/>
    <n v="499.37"/>
  </r>
  <r>
    <x v="764"/>
    <n v="498.16"/>
  </r>
  <r>
    <x v="765"/>
    <n v="497.72"/>
  </r>
  <r>
    <x v="766"/>
    <n v="498.93"/>
  </r>
  <r>
    <x v="767"/>
    <n v="496.18"/>
  </r>
  <r>
    <x v="768"/>
    <n v="496.44"/>
  </r>
  <r>
    <x v="769"/>
    <n v="496.44"/>
  </r>
  <r>
    <x v="770"/>
    <n v="496.44"/>
  </r>
  <r>
    <x v="771"/>
    <n v="494.9"/>
  </r>
  <r>
    <x v="772"/>
    <n v="492.84"/>
  </r>
  <r>
    <x v="773"/>
    <n v="490.28"/>
  </r>
  <r>
    <x v="774"/>
    <n v="487.69"/>
  </r>
  <r>
    <x v="775"/>
    <n v="485.72"/>
  </r>
  <r>
    <x v="776"/>
    <n v="485.72"/>
  </r>
  <r>
    <x v="777"/>
    <n v="485.72"/>
  </r>
  <r>
    <x v="778"/>
    <n v="484.84"/>
  </r>
  <r>
    <x v="779"/>
    <n v="484.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B7991-B0ED-4ED8-9A83-A257605D9FE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J19" firstHeaderRow="1" firstDataRow="2" firstDataCol="1"/>
  <pivotFields count="5">
    <pivotField axis="axisRow" numFmtId="14" showAll="0">
      <items count="7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t="default"/>
      </items>
    </pivotField>
    <pivotField dataField="1" numFmtId="16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4">
    <i>
      <x v="1"/>
    </i>
    <i>
      <x v="2"/>
    </i>
    <i>
      <x v="3"/>
    </i>
    <i t="grand">
      <x/>
    </i>
  </colItems>
  <dataFields count="1">
    <dataField name="Average of Tipo cambio venta" fld="1" subtotal="average" baseField="2" baseItem="1" numFmtId="165"/>
  </dataFields>
  <formats count="2">
    <format dxfId="1">
      <pivotArea type="all" dataOnly="0" outline="0" fieldPosition="0"/>
    </format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Exported" refreshOnLoad="1" connectionId="1" xr16:uid="{66CC631E-71A5-4C73-AAE7-297368FD872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Exported" refreshOnLoad="1" connectionId="2" xr16:uid="{9A9BDB57-9316-4B78-98C5-16875ECF13E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7DCB-9213-4005-9437-8BEB87460C71}">
  <dimension ref="B1:W26"/>
  <sheetViews>
    <sheetView tabSelected="1" workbookViewId="0"/>
  </sheetViews>
  <sheetFormatPr defaultRowHeight="12" x14ac:dyDescent="0.2"/>
  <cols>
    <col min="1" max="1" width="2" style="2" customWidth="1"/>
    <col min="2" max="2" width="9.140625" style="2"/>
    <col min="3" max="3" width="9.42578125" style="2" bestFit="1" customWidth="1"/>
    <col min="4" max="4" width="9.140625" style="2"/>
    <col min="5" max="5" width="9.42578125" style="2" bestFit="1" customWidth="1"/>
    <col min="6" max="6" width="13.85546875" style="2" customWidth="1"/>
    <col min="7" max="16384" width="9.140625" style="2"/>
  </cols>
  <sheetData>
    <row r="1" spans="2:23" ht="15.75" x14ac:dyDescent="0.25">
      <c r="B1" s="7" t="s">
        <v>2</v>
      </c>
      <c r="C1" s="7" t="s">
        <v>3</v>
      </c>
      <c r="D1" s="7" t="s">
        <v>0</v>
      </c>
      <c r="E1" s="7" t="s">
        <v>1</v>
      </c>
      <c r="F1" s="7" t="s">
        <v>479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2:23" x14ac:dyDescent="0.2">
      <c r="B2" s="41">
        <f>+'PD (Morosidad)'!C2</f>
        <v>45292</v>
      </c>
      <c r="C2" s="3">
        <f>+'PD (Morosidad)'!E2</f>
        <v>1.0165377240213264E-2</v>
      </c>
      <c r="D2" s="5">
        <f>+TPM!U36</f>
        <v>5.75</v>
      </c>
      <c r="E2" s="32">
        <f>+GETPIVOTDATA("Tipo cambio venta",'Tipo de cambio'!$F$5,"Months (Fecha)",1,"Years (Fecha)",2024)</f>
        <v>521.515806451613</v>
      </c>
      <c r="F2" s="32">
        <f>+Inflación!E6</f>
        <v>-1.86863398</v>
      </c>
    </row>
    <row r="3" spans="2:23" x14ac:dyDescent="0.2">
      <c r="B3" s="41">
        <f>+'PD (Morosidad)'!C3</f>
        <v>45323</v>
      </c>
      <c r="C3" s="3">
        <f>+'PD (Morosidad)'!E3</f>
        <v>1.073819252550318E-2</v>
      </c>
      <c r="D3" s="5">
        <f>+TPM!U65</f>
        <v>5.75</v>
      </c>
      <c r="E3" s="32">
        <f>+GETPIVOTDATA("Tipo cambio venta",'Tipo de cambio'!$F$5,"Months (Fecha)",2,"Years (Fecha)",2024)</f>
        <v>519.45862068965516</v>
      </c>
      <c r="F3" s="32">
        <f>+Inflación!E7</f>
        <v>-1.13140602</v>
      </c>
    </row>
    <row r="4" spans="2:23" x14ac:dyDescent="0.2">
      <c r="B4" s="41">
        <f>+'PD (Morosidad)'!C4</f>
        <v>45352</v>
      </c>
      <c r="C4" s="3">
        <f>+'PD (Morosidad)'!E4</f>
        <v>1.1747474045496436E-2</v>
      </c>
      <c r="D4" s="5">
        <f>+TPM!U96</f>
        <v>5.25</v>
      </c>
      <c r="E4" s="32">
        <f>+GETPIVOTDATA("Tipo cambio venta",'Tipo de cambio'!$F$5,"Months (Fecha)",3,"Years (Fecha)",2024)</f>
        <v>510.02129032258063</v>
      </c>
      <c r="F4" s="32">
        <f>+Inflación!E8</f>
        <v>-1.1863148400000001</v>
      </c>
    </row>
    <row r="5" spans="2:23" x14ac:dyDescent="0.2">
      <c r="B5" s="41">
        <f>+'PD (Morosidad)'!C5</f>
        <v>45383</v>
      </c>
      <c r="C5" s="3">
        <f>+'PD (Morosidad)'!E5</f>
        <v>1.2473501464074025E-2</v>
      </c>
      <c r="D5" s="5">
        <f>+TPM!U126</f>
        <v>4.75</v>
      </c>
      <c r="E5" s="32">
        <f>+GETPIVOTDATA("Tipo cambio venta",'Tipo de cambio'!$F$5,"Months (Fecha)",4,"Years (Fecha)",2024)</f>
        <v>504.98100000000005</v>
      </c>
      <c r="F5" s="32">
        <f>+Inflación!E9</f>
        <v>-0.52081297000000004</v>
      </c>
    </row>
    <row r="6" spans="2:23" x14ac:dyDescent="0.2">
      <c r="B6" s="41">
        <f>+'PD (Morosidad)'!C6</f>
        <v>45413</v>
      </c>
      <c r="C6" s="3">
        <f>+'PD (Morosidad)'!E6</f>
        <v>1.3492357207079527E-2</v>
      </c>
      <c r="D6" s="5">
        <f>+TPM!U157</f>
        <v>4.75</v>
      </c>
      <c r="E6" s="32">
        <f>+GETPIVOTDATA("Tipo cambio venta",'Tipo de cambio'!$F$5,"Months (Fecha)",5,"Years (Fecha)",2024)</f>
        <v>515.43741935483854</v>
      </c>
      <c r="F6" s="32">
        <f>+Inflación!E10</f>
        <v>-0.33476581999999999</v>
      </c>
    </row>
    <row r="7" spans="2:23" x14ac:dyDescent="0.2">
      <c r="B7" s="41">
        <f>+'PD (Morosidad)'!C7</f>
        <v>45444</v>
      </c>
      <c r="C7" s="3">
        <f>+'PD (Morosidad)'!E7</f>
        <v>1.0710683868963762E-2</v>
      </c>
      <c r="D7" s="5">
        <f>+TPM!U187</f>
        <v>4.75</v>
      </c>
      <c r="E7" s="32">
        <f>+GETPIVOTDATA("Tipo cambio venta",'Tipo de cambio'!$F$5,"Months (Fecha)",6,"Years (Fecha)",2024)</f>
        <v>528.99299999999994</v>
      </c>
      <c r="F7" s="32">
        <f>+Inflación!E11</f>
        <v>-3.3756990000000001E-2</v>
      </c>
    </row>
    <row r="8" spans="2:23" x14ac:dyDescent="0.2">
      <c r="B8" s="41">
        <f>+'PD (Morosidad)'!C8</f>
        <v>45474</v>
      </c>
      <c r="C8" s="3">
        <f>+'PD (Morosidad)'!E8</f>
        <v>1.0953392978111629E-2</v>
      </c>
      <c r="D8" s="5">
        <f>+TPM!U218</f>
        <v>4.75</v>
      </c>
      <c r="E8" s="32">
        <f>+GETPIVOTDATA("Tipo cambio venta",'Tipo de cambio'!$F$5,"Months (Fecha)",7,"Years (Fecha)",2024)</f>
        <v>529.24774193548376</v>
      </c>
      <c r="F8" s="32">
        <f>+Inflación!E12</f>
        <v>3.1874550000000001E-2</v>
      </c>
    </row>
    <row r="9" spans="2:23" x14ac:dyDescent="0.2">
      <c r="B9" s="41">
        <f>+'PD (Morosidad)'!C9</f>
        <v>45505</v>
      </c>
      <c r="C9" s="3">
        <f>+'PD (Morosidad)'!E9</f>
        <v>1.1597034433047076E-2</v>
      </c>
      <c r="D9" s="5">
        <f>+TPM!U249</f>
        <v>4.75</v>
      </c>
      <c r="E9" s="32">
        <f>+GETPIVOTDATA("Tipo cambio venta",'Tipo de cambio'!$F$5,"Months (Fecha)",8,"Years (Fecha)",2024)</f>
        <v>525.70354838709659</v>
      </c>
      <c r="F9" s="32">
        <f>+Inflación!E13</f>
        <v>0.31250424999999998</v>
      </c>
    </row>
    <row r="10" spans="2:23" x14ac:dyDescent="0.2">
      <c r="B10" s="41">
        <f>+'PD (Morosidad)'!C10</f>
        <v>45536</v>
      </c>
      <c r="C10" s="3">
        <f>+'PD (Morosidad)'!E10</f>
        <v>1.2029054597877478E-2</v>
      </c>
      <c r="D10" s="5">
        <f>+TPM!U279</f>
        <v>4.25</v>
      </c>
      <c r="E10" s="32">
        <f>+GETPIVOTDATA("Tipo cambio venta",'Tipo de cambio'!$F$5,"Months (Fecha)",9,"Years (Fecha)",2024)</f>
        <v>522.01900000000012</v>
      </c>
      <c r="F10" s="32">
        <f>+Inflación!E14</f>
        <v>-0.13585182000000001</v>
      </c>
    </row>
    <row r="11" spans="2:23" x14ac:dyDescent="0.2">
      <c r="B11" s="41">
        <f>+'PD (Morosidad)'!C11</f>
        <v>45566</v>
      </c>
      <c r="C11" s="3">
        <f>+'PD (Morosidad)'!E11</f>
        <v>1.1916556038066186E-2</v>
      </c>
      <c r="D11" s="5">
        <f>+TPM!U310</f>
        <v>4</v>
      </c>
      <c r="E11" s="32">
        <f>+GETPIVOTDATA("Tipo cambio venta",'Tipo de cambio'!$F$5,"Months (Fecha)",10,"Years (Fecha)",2024)</f>
        <v>518.64903225806449</v>
      </c>
      <c r="F11" s="32">
        <f>+Inflación!E15</f>
        <v>-0.78639460000000005</v>
      </c>
    </row>
    <row r="12" spans="2:23" x14ac:dyDescent="0.2">
      <c r="B12" s="41">
        <f>+'PD (Morosidad)'!C12</f>
        <v>45597</v>
      </c>
      <c r="C12" s="3">
        <f>+'PD (Morosidad)'!E12</f>
        <v>1.2037238820162336E-2</v>
      </c>
      <c r="D12" s="5">
        <f>+TPM!U340</f>
        <v>4</v>
      </c>
      <c r="E12" s="32">
        <f>+GETPIVOTDATA("Tipo cambio venta",'Tipo de cambio'!$F$5,"Months (Fecha)",11,"Years (Fecha)",2024)</f>
        <v>513.60800000000017</v>
      </c>
      <c r="F12" s="32">
        <f>+Inflación!E16</f>
        <v>-9.1822550000000003E-2</v>
      </c>
    </row>
    <row r="13" spans="2:23" x14ac:dyDescent="0.2">
      <c r="B13" s="41">
        <f>+'PD (Morosidad)'!C13</f>
        <v>45627</v>
      </c>
      <c r="C13" s="3">
        <f>+'PD (Morosidad)'!E13</f>
        <v>1.1917129639655884E-2</v>
      </c>
      <c r="D13" s="5">
        <f>+TPM!U371</f>
        <v>4</v>
      </c>
      <c r="E13" s="32">
        <f>+GETPIVOTDATA("Tipo cambio venta",'Tipo de cambio'!$F$5,"Months (Fecha)",12,"Years (Fecha)",2024)</f>
        <v>509.13709677419348</v>
      </c>
      <c r="F13" s="32">
        <f>+Inflación!E17</f>
        <v>0.84171929999999995</v>
      </c>
    </row>
    <row r="14" spans="2:23" x14ac:dyDescent="0.2">
      <c r="B14" s="41">
        <f>+'PD (Morosidad)'!C14</f>
        <v>45658</v>
      </c>
      <c r="C14" s="3">
        <f>+'PD (Morosidad)'!E14</f>
        <v>1.1882143324810955E-2</v>
      </c>
      <c r="D14" s="5">
        <f>+TPM!V36</f>
        <v>4</v>
      </c>
      <c r="E14" s="32">
        <f>+GETPIVOTDATA("Tipo cambio venta",'Tipo de cambio'!$F$5,"Months (Fecha)",1,"Years (Fecha)",2025)</f>
        <v>508.67451612903233</v>
      </c>
      <c r="F14" s="32">
        <f>+Inflación!E18</f>
        <v>1.15049303</v>
      </c>
    </row>
    <row r="15" spans="2:23" x14ac:dyDescent="0.2">
      <c r="B15" s="41">
        <f>+'PD (Morosidad)'!C15</f>
        <v>45689</v>
      </c>
      <c r="C15" s="3">
        <f>+'PD (Morosidad)'!E15</f>
        <v>1.1488650329802836E-2</v>
      </c>
      <c r="D15" s="5">
        <f>+TPM!V65</f>
        <v>0</v>
      </c>
      <c r="E15" s="32">
        <f>+GETPIVOTDATA("Tipo cambio venta",'Tipo de cambio'!$F$5,"Months (Fecha)",2,"Years (Fecha)",2025)</f>
        <v>509.92357142857151</v>
      </c>
      <c r="F15" s="32">
        <f>+Inflación!E19</f>
        <v>1.2465414100000001</v>
      </c>
    </row>
    <row r="16" spans="2:23" x14ac:dyDescent="0.2">
      <c r="B16" s="41">
        <f>+'PD (Morosidad)'!C16</f>
        <v>45717</v>
      </c>
      <c r="C16" s="3">
        <f>+'PD (Morosidad)'!E16</f>
        <v>1.1103786485556429E-2</v>
      </c>
      <c r="D16" s="5">
        <f>+TPM!V96</f>
        <v>4</v>
      </c>
      <c r="E16" s="32">
        <f>+GETPIVOTDATA("Tipo cambio venta",'Tipo de cambio'!$F$5,"Months (Fecha)",3,"Years (Fecha)",2025)</f>
        <v>504.40354838709675</v>
      </c>
      <c r="F16" s="32">
        <f>+Inflación!E20</f>
        <v>1.21258428</v>
      </c>
    </row>
    <row r="17" spans="2:6" x14ac:dyDescent="0.2">
      <c r="B17" s="41">
        <f>+'PD (Morosidad)'!C17</f>
        <v>45748</v>
      </c>
      <c r="C17" s="3">
        <f>+'PD (Morosidad)'!E17</f>
        <v>1.2641225048746705E-2</v>
      </c>
      <c r="D17" s="5">
        <f>+TPM!V126</f>
        <v>4</v>
      </c>
      <c r="E17" s="32">
        <f>+GETPIVOTDATA("Tipo cambio venta",'Tipo de cambio'!$F$5,"Months (Fecha)",4,"Years (Fecha)",2025)</f>
        <v>508.35533333333314</v>
      </c>
      <c r="F17" s="32">
        <f>+Inflación!E21</f>
        <v>0.37188968</v>
      </c>
    </row>
    <row r="18" spans="2:6" x14ac:dyDescent="0.2">
      <c r="B18" s="41">
        <f>+'PD (Morosidad)'!C18</f>
        <v>45778</v>
      </c>
      <c r="C18" s="3">
        <f>+'PD (Morosidad)'!E18</f>
        <v>1.2979844065252027E-2</v>
      </c>
      <c r="D18" s="5">
        <f>+TPM!V157</f>
        <v>4</v>
      </c>
      <c r="E18" s="32">
        <f>+GETPIVOTDATA("Tipo cambio venta",'Tipo de cambio'!$F$5,"Months (Fecha)",5,"Years (Fecha)",2025)</f>
        <v>509.32806451612896</v>
      </c>
      <c r="F18" s="32">
        <f>+Inflación!E22</f>
        <v>-0.11552013999999999</v>
      </c>
    </row>
    <row r="19" spans="2:6" x14ac:dyDescent="0.2">
      <c r="B19" s="41">
        <f>+'PD (Morosidad)'!C19</f>
        <v>45809</v>
      </c>
      <c r="C19" s="3">
        <f>+'PD (Morosidad)'!E19</f>
        <v>1.1902519557132287E-2</v>
      </c>
      <c r="D19" s="5">
        <f>+TPM!V187</f>
        <v>4</v>
      </c>
      <c r="E19" s="32">
        <f>+GETPIVOTDATA("Tipo cambio venta",'Tipo de cambio'!$F$5,"Months (Fecha)",6,"Years (Fecha)",2025)</f>
        <v>508.6363333333336</v>
      </c>
      <c r="F19" s="32">
        <f>+Inflación!E23</f>
        <v>-0.21516411999999999</v>
      </c>
    </row>
    <row r="20" spans="2:6" x14ac:dyDescent="0.2">
      <c r="B20" s="41">
        <f>+'PD (Morosidad)'!C20</f>
        <v>45839</v>
      </c>
      <c r="C20" s="3">
        <f>+'PD (Morosidad)'!E20</f>
        <v>1.2059826674667517E-2</v>
      </c>
      <c r="D20" s="5">
        <f>+TPM!V218</f>
        <v>3.75</v>
      </c>
      <c r="E20" s="32">
        <f>+GETPIVOTDATA("Tipo cambio venta",'Tipo de cambio'!$F$5,"Months (Fecha)",7,"Years (Fecha)",2025)</f>
        <v>507.23483870967749</v>
      </c>
      <c r="F20" s="32">
        <f>+Inflación!E24</f>
        <v>-0.60816884999999998</v>
      </c>
    </row>
    <row r="21" spans="2:6" x14ac:dyDescent="0.2">
      <c r="B21" s="41">
        <f>+'PD (Morosidad)'!C21</f>
        <v>45870</v>
      </c>
      <c r="C21" s="3">
        <f>+'PD (Morosidad)'!E21</f>
        <v>1.2067684705264122E-2</v>
      </c>
      <c r="D21" s="5">
        <f>+TPM!V249</f>
        <v>3.75</v>
      </c>
      <c r="E21" s="32">
        <f>+GETPIVOTDATA("Tipo cambio venta",'Tipo de cambio'!$F$5,"Months (Fecha)",8,"Years (Fecha)",2025)</f>
        <v>507.73548387096753</v>
      </c>
      <c r="F21" s="32">
        <f>+Inflación!E25</f>
        <v>-0.93582989000000005</v>
      </c>
    </row>
    <row r="22" spans="2:6" x14ac:dyDescent="0.2">
      <c r="B22" s="41">
        <f>+'PD (Morosidad)'!C22</f>
        <v>45901</v>
      </c>
      <c r="C22" s="3">
        <f>+'PD (Morosidad)'!E22</f>
        <v>1.0892421331968171E-2</v>
      </c>
      <c r="D22" s="5">
        <f>+TPM!V279</f>
        <v>3.5</v>
      </c>
      <c r="E22" s="32">
        <f>+GETPIVOTDATA("Tipo cambio venta",'Tipo de cambio'!$F$5,"Months (Fecha)",9,"Years (Fecha)",2025)</f>
        <v>507.5066666666666</v>
      </c>
      <c r="F22" s="32">
        <f>+Inflación!E26</f>
        <v>-1.00323264</v>
      </c>
    </row>
    <row r="23" spans="2:6" x14ac:dyDescent="0.2">
      <c r="B23" s="41">
        <f>+'PD (Morosidad)'!C23</f>
        <v>45931</v>
      </c>
      <c r="C23" s="3">
        <f>+'PD (Morosidad)'!E23</f>
        <v>1.0747452122274371E-2</v>
      </c>
      <c r="D23" s="5">
        <f>+TPM!V310</f>
        <v>3.5</v>
      </c>
      <c r="E23" s="32">
        <f>+GETPIVOTDATA("Tipo cambio venta",'Tipo de cambio'!$F$5,"Months (Fecha)",10,"Years (Fecha)",2025)</f>
        <v>506.00193548387097</v>
      </c>
      <c r="F23" s="32">
        <f>+Inflación!E27</f>
        <v>-0.37764121</v>
      </c>
    </row>
    <row r="24" spans="2:6" x14ac:dyDescent="0.2">
      <c r="B24" s="41">
        <f>+'PD (Morosidad)'!C24</f>
        <v>45962</v>
      </c>
      <c r="C24" s="3">
        <f>+'PD (Morosidad)'!E24</f>
        <v>1.1865969699701474E-2</v>
      </c>
      <c r="D24" s="5">
        <f>+TPM!V340</f>
        <v>3.5</v>
      </c>
      <c r="E24" s="32">
        <f>+GETPIVOTDATA("Tipo cambio venta",'Tipo de cambio'!$F$5,"Months (Fecha)",11,"Years (Fecha)",2025)</f>
        <v>502.40999999999997</v>
      </c>
      <c r="F24" s="32">
        <f>+Inflación!E28</f>
        <v>-0.37595224999999999</v>
      </c>
    </row>
    <row r="25" spans="2:6" x14ac:dyDescent="0.2">
      <c r="B25" s="41">
        <f>+'PD (Morosidad)'!C25</f>
        <v>45992</v>
      </c>
      <c r="C25" s="3">
        <f>+'PD (Morosidad)'!E25</f>
        <v>1.2003634326995414E-2</v>
      </c>
      <c r="D25" s="5">
        <f>+TPM!V371</f>
        <v>3.25</v>
      </c>
      <c r="E25" s="32">
        <f>+GETPIVOTDATA("Tipo cambio venta",'Tipo de cambio'!$F$5,"Months (Fecha)",12,"Years (Fecha)",2025)</f>
        <v>497.75967741935489</v>
      </c>
      <c r="F25" s="32">
        <f>+Inflación!E29</f>
        <v>-1.2267773</v>
      </c>
    </row>
    <row r="26" spans="2:6" x14ac:dyDescent="0.2">
      <c r="B26" s="41">
        <f>+'PD (Morosidad)'!C26</f>
        <v>46023</v>
      </c>
      <c r="C26" s="3">
        <f>+'PD (Morosidad)'!E26</f>
        <v>9.9209687275797903E-3</v>
      </c>
      <c r="D26" s="5">
        <f>+TPM!W36</f>
        <v>3.25</v>
      </c>
      <c r="E26" s="32">
        <f>+GETPIVOTDATA("Tipo cambio venta",'Tipo de cambio'!$F$5,"Months (Fecha)",1,"Years (Fecha)",2026)</f>
        <v>497.94419354838703</v>
      </c>
      <c r="F26" s="32">
        <f>+Inflación!E30</f>
        <v>-2.53074157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45DC-7558-4E89-8AC4-8B194C3E94FE}">
  <dimension ref="B1:P53"/>
  <sheetViews>
    <sheetView workbookViewId="0"/>
  </sheetViews>
  <sheetFormatPr defaultRowHeight="12" x14ac:dyDescent="0.2"/>
  <cols>
    <col min="1" max="1" width="2" style="2" customWidth="1"/>
    <col min="2" max="4" width="13.7109375" style="2" customWidth="1"/>
    <col min="5" max="5" width="15.7109375" style="2" customWidth="1"/>
    <col min="6" max="7" width="22.7109375" style="2" bestFit="1" customWidth="1"/>
    <col min="8" max="10" width="20" style="2" bestFit="1" customWidth="1"/>
    <col min="11" max="11" width="22.7109375" style="2" bestFit="1" customWidth="1"/>
    <col min="12" max="13" width="20" style="2" bestFit="1" customWidth="1"/>
    <col min="14" max="14" width="20" style="2" customWidth="1"/>
    <col min="15" max="15" width="22.7109375" style="2" bestFit="1" customWidth="1"/>
    <col min="16" max="16" width="10" style="2" bestFit="1" customWidth="1"/>
    <col min="17" max="16384" width="9.140625" style="2"/>
  </cols>
  <sheetData>
    <row r="1" spans="2:16" ht="15.75" x14ac:dyDescent="0.25">
      <c r="B1" s="18" t="s">
        <v>2</v>
      </c>
      <c r="C1" s="18"/>
      <c r="D1" s="18"/>
      <c r="E1" s="18" t="s">
        <v>3</v>
      </c>
      <c r="F1" s="18" t="s">
        <v>4</v>
      </c>
      <c r="G1" s="18" t="s">
        <v>31</v>
      </c>
      <c r="H1" s="18" t="s">
        <v>32</v>
      </c>
      <c r="I1" s="18" t="s">
        <v>33</v>
      </c>
      <c r="J1" s="18" t="s">
        <v>34</v>
      </c>
      <c r="K1" s="18" t="s">
        <v>5</v>
      </c>
      <c r="L1" s="18" t="s">
        <v>35</v>
      </c>
      <c r="M1" s="18" t="s">
        <v>36</v>
      </c>
      <c r="N1" s="18"/>
      <c r="O1" s="18" t="s">
        <v>37</v>
      </c>
      <c r="P1" s="18" t="s">
        <v>38</v>
      </c>
    </row>
    <row r="2" spans="2:16" x14ac:dyDescent="0.2">
      <c r="B2" s="2" t="s">
        <v>6</v>
      </c>
      <c r="C2" s="41">
        <f>DATE(LEFT(B2,4),RIGHT(B2,2),1)</f>
        <v>45292</v>
      </c>
      <c r="D2" s="41" t="b">
        <f>ISNUMBER(C2)</f>
        <v>1</v>
      </c>
      <c r="E2" s="3">
        <f t="shared" ref="E2:E26" si="0">+(J2+M2)/F2</f>
        <v>1.0165377240213264E-2</v>
      </c>
      <c r="F2" s="4">
        <f>SUM(G2:M2)</f>
        <v>24101746374839.887</v>
      </c>
      <c r="G2" s="5">
        <v>743087903628.17993</v>
      </c>
      <c r="H2" s="5">
        <v>365029806555.21991</v>
      </c>
      <c r="I2" s="5">
        <v>187765875494.48993</v>
      </c>
      <c r="J2" s="5">
        <v>121774245658.70996</v>
      </c>
      <c r="K2" s="5">
        <v>22311059038240.965</v>
      </c>
      <c r="L2" s="5">
        <v>249800406872.84</v>
      </c>
      <c r="M2" s="5">
        <v>123229098389.47998</v>
      </c>
      <c r="N2" s="6"/>
      <c r="O2" s="4">
        <v>24101746374839.891</v>
      </c>
      <c r="P2" s="6">
        <f t="shared" ref="P2:P26" si="1">+F2-O2</f>
        <v>0</v>
      </c>
    </row>
    <row r="3" spans="2:16" x14ac:dyDescent="0.2">
      <c r="B3" s="2" t="s">
        <v>7</v>
      </c>
      <c r="C3" s="41">
        <f t="shared" ref="C3:C26" si="2">DATE(LEFT(B3,4),RIGHT(B3,2),1)</f>
        <v>45323</v>
      </c>
      <c r="D3" s="41" t="b">
        <f t="shared" ref="D3:D26" si="3">ISNUMBER(C3)</f>
        <v>1</v>
      </c>
      <c r="E3" s="3">
        <f t="shared" si="0"/>
        <v>1.073819252550318E-2</v>
      </c>
      <c r="F3" s="4">
        <f>SUM(G3:M3)</f>
        <v>24114388989542.359</v>
      </c>
      <c r="G3" s="5">
        <v>876520544992.85974</v>
      </c>
      <c r="H3" s="5">
        <v>358085162983.52002</v>
      </c>
      <c r="I3" s="5">
        <v>163808400237.80005</v>
      </c>
      <c r="J3" s="5">
        <v>130721642709.13995</v>
      </c>
      <c r="K3" s="5">
        <v>22210643830652.938</v>
      </c>
      <c r="L3" s="5">
        <v>246386099070.66006</v>
      </c>
      <c r="M3" s="5">
        <v>128223308895.44002</v>
      </c>
      <c r="N3" s="6"/>
      <c r="O3" s="4">
        <v>24114388989542.367</v>
      </c>
      <c r="P3" s="6">
        <f t="shared" si="1"/>
        <v>0</v>
      </c>
    </row>
    <row r="4" spans="2:16" x14ac:dyDescent="0.2">
      <c r="B4" s="2" t="s">
        <v>8</v>
      </c>
      <c r="C4" s="41">
        <f t="shared" si="2"/>
        <v>45352</v>
      </c>
      <c r="D4" s="41" t="b">
        <f t="shared" si="3"/>
        <v>1</v>
      </c>
      <c r="E4" s="3">
        <f t="shared" si="0"/>
        <v>1.1747474045496436E-2</v>
      </c>
      <c r="F4" s="4">
        <f t="shared" ref="F4:F26" si="4">SUM(G4:M4)</f>
        <v>24051653052213.23</v>
      </c>
      <c r="G4" s="5">
        <v>846058917046.9198</v>
      </c>
      <c r="H4" s="5">
        <v>439600894471.62</v>
      </c>
      <c r="I4" s="5">
        <v>187019143831.81</v>
      </c>
      <c r="J4" s="5">
        <v>149449173621.69003</v>
      </c>
      <c r="K4" s="5">
        <v>22053868861451.594</v>
      </c>
      <c r="L4" s="5">
        <v>242559065429.12994</v>
      </c>
      <c r="M4" s="5">
        <v>133096996360.47003</v>
      </c>
      <c r="N4" s="6"/>
      <c r="O4" s="4">
        <v>24051653052213.23</v>
      </c>
      <c r="P4" s="6">
        <f t="shared" si="1"/>
        <v>0</v>
      </c>
    </row>
    <row r="5" spans="2:16" x14ac:dyDescent="0.2">
      <c r="B5" s="2" t="s">
        <v>9</v>
      </c>
      <c r="C5" s="41">
        <f t="shared" si="2"/>
        <v>45383</v>
      </c>
      <c r="D5" s="41" t="b">
        <f t="shared" si="3"/>
        <v>1</v>
      </c>
      <c r="E5" s="3">
        <f t="shared" si="0"/>
        <v>1.2473501464074025E-2</v>
      </c>
      <c r="F5" s="4">
        <f t="shared" si="4"/>
        <v>24234857140008.422</v>
      </c>
      <c r="G5" s="5">
        <v>844275350879.66016</v>
      </c>
      <c r="H5" s="5">
        <v>339084554081.83002</v>
      </c>
      <c r="I5" s="5">
        <v>223453964836.90997</v>
      </c>
      <c r="J5" s="5">
        <v>163306223660.04996</v>
      </c>
      <c r="K5" s="5">
        <v>22280925933189.563</v>
      </c>
      <c r="L5" s="5">
        <v>244823811002.93997</v>
      </c>
      <c r="M5" s="5">
        <v>138987302357.46997</v>
      </c>
      <c r="N5" s="6"/>
      <c r="O5" s="4">
        <v>24234857140008.43</v>
      </c>
      <c r="P5" s="6">
        <f t="shared" si="1"/>
        <v>0</v>
      </c>
    </row>
    <row r="6" spans="2:16" x14ac:dyDescent="0.2">
      <c r="B6" s="2" t="s">
        <v>10</v>
      </c>
      <c r="C6" s="41">
        <f t="shared" si="2"/>
        <v>45413</v>
      </c>
      <c r="D6" s="41" t="b">
        <f t="shared" si="3"/>
        <v>1</v>
      </c>
      <c r="E6" s="3">
        <f t="shared" si="0"/>
        <v>1.3492357207079527E-2</v>
      </c>
      <c r="F6" s="4">
        <f t="shared" si="4"/>
        <v>24661737235188.719</v>
      </c>
      <c r="G6" s="5">
        <v>780296871143.03027</v>
      </c>
      <c r="H6" s="5">
        <v>403568891814.15015</v>
      </c>
      <c r="I6" s="5">
        <v>190752321811.40997</v>
      </c>
      <c r="J6" s="5">
        <v>186133884071.92001</v>
      </c>
      <c r="K6" s="5">
        <v>22710419789770.387</v>
      </c>
      <c r="L6" s="5">
        <v>243954392525.43997</v>
      </c>
      <c r="M6" s="5">
        <v>146611084052.38</v>
      </c>
      <c r="N6" s="6"/>
      <c r="O6" s="4">
        <v>24661737235188.719</v>
      </c>
      <c r="P6" s="6">
        <f t="shared" si="1"/>
        <v>0</v>
      </c>
    </row>
    <row r="7" spans="2:16" x14ac:dyDescent="0.2">
      <c r="B7" s="2" t="s">
        <v>11</v>
      </c>
      <c r="C7" s="41">
        <f t="shared" si="2"/>
        <v>45444</v>
      </c>
      <c r="D7" s="41" t="b">
        <f t="shared" si="3"/>
        <v>1</v>
      </c>
      <c r="E7" s="3">
        <f t="shared" si="0"/>
        <v>1.0710683868963762E-2</v>
      </c>
      <c r="F7" s="4">
        <f t="shared" si="4"/>
        <v>24267441115856.297</v>
      </c>
      <c r="G7" s="5">
        <v>853711639181.77039</v>
      </c>
      <c r="H7" s="5">
        <v>313919961079.69983</v>
      </c>
      <c r="I7" s="5">
        <v>190059929476.66995</v>
      </c>
      <c r="J7" s="5">
        <v>139051029981.33002</v>
      </c>
      <c r="K7" s="5">
        <v>22418125375287.836</v>
      </c>
      <c r="L7" s="5">
        <v>231703320729.69003</v>
      </c>
      <c r="M7" s="5">
        <v>120869860119.3</v>
      </c>
      <c r="N7" s="6"/>
      <c r="O7" s="4">
        <v>24267441115856.301</v>
      </c>
      <c r="P7" s="6">
        <f t="shared" si="1"/>
        <v>0</v>
      </c>
    </row>
    <row r="8" spans="2:16" x14ac:dyDescent="0.2">
      <c r="B8" s="2" t="s">
        <v>12</v>
      </c>
      <c r="C8" s="41">
        <f t="shared" si="2"/>
        <v>45474</v>
      </c>
      <c r="D8" s="41" t="b">
        <f t="shared" si="3"/>
        <v>1</v>
      </c>
      <c r="E8" s="3">
        <f t="shared" si="0"/>
        <v>1.0953392978111629E-2</v>
      </c>
      <c r="F8" s="4">
        <f t="shared" si="4"/>
        <v>24414825032133.941</v>
      </c>
      <c r="G8" s="5">
        <v>723624639754.44983</v>
      </c>
      <c r="H8" s="5">
        <v>366400253640.07007</v>
      </c>
      <c r="I8" s="5">
        <v>171280460673.75</v>
      </c>
      <c r="J8" s="5">
        <v>140946482786.16998</v>
      </c>
      <c r="K8" s="5">
        <v>22653494807551.52</v>
      </c>
      <c r="L8" s="5">
        <v>232599697445.35004</v>
      </c>
      <c r="M8" s="5">
        <v>126478690282.62997</v>
      </c>
      <c r="N8" s="6"/>
      <c r="O8" s="4">
        <v>24414825032133.941</v>
      </c>
      <c r="P8" s="6">
        <f t="shared" si="1"/>
        <v>0</v>
      </c>
    </row>
    <row r="9" spans="2:16" x14ac:dyDescent="0.2">
      <c r="B9" s="2" t="s">
        <v>13</v>
      </c>
      <c r="C9" s="41">
        <f t="shared" si="2"/>
        <v>45505</v>
      </c>
      <c r="D9" s="41" t="b">
        <f t="shared" si="3"/>
        <v>1</v>
      </c>
      <c r="E9" s="3">
        <f t="shared" si="0"/>
        <v>1.1597034433047076E-2</v>
      </c>
      <c r="F9" s="4">
        <f t="shared" si="4"/>
        <v>24752556660611.477</v>
      </c>
      <c r="G9" s="5">
        <v>838693982842.15979</v>
      </c>
      <c r="H9" s="5">
        <v>382988859556.6701</v>
      </c>
      <c r="I9" s="5">
        <v>219290317456.06003</v>
      </c>
      <c r="J9" s="5">
        <v>149482902608.49005</v>
      </c>
      <c r="K9" s="5">
        <v>22780478861758.688</v>
      </c>
      <c r="L9" s="5">
        <v>244048387098.83997</v>
      </c>
      <c r="M9" s="5">
        <v>137573349290.57001</v>
      </c>
      <c r="N9" s="6"/>
      <c r="O9" s="4">
        <v>24752556660611.477</v>
      </c>
      <c r="P9" s="6">
        <f t="shared" si="1"/>
        <v>0</v>
      </c>
    </row>
    <row r="10" spans="2:16" x14ac:dyDescent="0.2">
      <c r="B10" s="2" t="s">
        <v>14</v>
      </c>
      <c r="C10" s="41">
        <f t="shared" si="2"/>
        <v>45536</v>
      </c>
      <c r="D10" s="41" t="b">
        <f t="shared" si="3"/>
        <v>1</v>
      </c>
      <c r="E10" s="3">
        <f t="shared" si="0"/>
        <v>1.2029054597877478E-2</v>
      </c>
      <c r="F10" s="4">
        <f t="shared" si="4"/>
        <v>24888817019053.781</v>
      </c>
      <c r="G10" s="5">
        <v>852238845782.21033</v>
      </c>
      <c r="H10" s="5">
        <v>352641441401.3399</v>
      </c>
      <c r="I10" s="5">
        <v>195308695582.44998</v>
      </c>
      <c r="J10" s="5">
        <v>166381848659.85004</v>
      </c>
      <c r="K10" s="5">
        <v>22943679701720.898</v>
      </c>
      <c r="L10" s="5">
        <v>245559395768.10004</v>
      </c>
      <c r="M10" s="5">
        <v>133007090138.93005</v>
      </c>
      <c r="N10" s="6"/>
      <c r="O10" s="4">
        <v>24888817019053.781</v>
      </c>
      <c r="P10" s="6">
        <f t="shared" si="1"/>
        <v>0</v>
      </c>
    </row>
    <row r="11" spans="2:16" x14ac:dyDescent="0.2">
      <c r="B11" s="2" t="s">
        <v>15</v>
      </c>
      <c r="C11" s="41">
        <f t="shared" si="2"/>
        <v>45566</v>
      </c>
      <c r="D11" s="41" t="b">
        <f t="shared" si="3"/>
        <v>1</v>
      </c>
      <c r="E11" s="3">
        <f t="shared" si="0"/>
        <v>1.1916556038066186E-2</v>
      </c>
      <c r="F11" s="4">
        <f t="shared" si="4"/>
        <v>24839719685518.762</v>
      </c>
      <c r="G11" s="5">
        <v>764978149879.41003</v>
      </c>
      <c r="H11" s="5">
        <v>370231484633.60999</v>
      </c>
      <c r="I11" s="5">
        <v>192312599725.79993</v>
      </c>
      <c r="J11" s="5">
        <v>167239496128.65009</v>
      </c>
      <c r="K11" s="5">
        <v>22983106066683.59</v>
      </c>
      <c r="L11" s="5">
        <v>233087472994.00998</v>
      </c>
      <c r="M11" s="5">
        <v>128764415473.69003</v>
      </c>
      <c r="N11" s="6"/>
      <c r="O11" s="4">
        <v>24839719685518.766</v>
      </c>
      <c r="P11" s="6">
        <f t="shared" si="1"/>
        <v>0</v>
      </c>
    </row>
    <row r="12" spans="2:16" x14ac:dyDescent="0.2">
      <c r="B12" s="2" t="s">
        <v>16</v>
      </c>
      <c r="C12" s="41">
        <f t="shared" si="2"/>
        <v>45597</v>
      </c>
      <c r="D12" s="41" t="b">
        <f t="shared" si="3"/>
        <v>1</v>
      </c>
      <c r="E12" s="3">
        <f t="shared" si="0"/>
        <v>1.2037238820162336E-2</v>
      </c>
      <c r="F12" s="4">
        <f t="shared" si="4"/>
        <v>24926899636114.676</v>
      </c>
      <c r="G12" s="5">
        <v>853480024123.13989</v>
      </c>
      <c r="H12" s="5">
        <v>327861902984.91998</v>
      </c>
      <c r="I12" s="5">
        <v>189915891880.54996</v>
      </c>
      <c r="J12" s="5">
        <v>179642346130.43997</v>
      </c>
      <c r="K12" s="5">
        <v>23018325602642.742</v>
      </c>
      <c r="L12" s="5">
        <v>237265170517.19</v>
      </c>
      <c r="M12" s="5">
        <v>120408697835.69</v>
      </c>
      <c r="N12" s="6"/>
      <c r="O12" s="4">
        <v>24926899636114.676</v>
      </c>
      <c r="P12" s="6">
        <f t="shared" si="1"/>
        <v>0</v>
      </c>
    </row>
    <row r="13" spans="2:16" x14ac:dyDescent="0.2">
      <c r="B13" s="2" t="s">
        <v>17</v>
      </c>
      <c r="C13" s="41">
        <f t="shared" si="2"/>
        <v>45627</v>
      </c>
      <c r="D13" s="41" t="b">
        <f t="shared" si="3"/>
        <v>1</v>
      </c>
      <c r="E13" s="3">
        <f t="shared" si="0"/>
        <v>1.1917129639655884E-2</v>
      </c>
      <c r="F13" s="4">
        <f t="shared" si="4"/>
        <v>25044833687532.859</v>
      </c>
      <c r="G13" s="5">
        <v>786877584739.5</v>
      </c>
      <c r="H13" s="5">
        <v>365174944517.12994</v>
      </c>
      <c r="I13" s="5">
        <v>175557871257.53998</v>
      </c>
      <c r="J13" s="5">
        <v>181720855584.55002</v>
      </c>
      <c r="K13" s="5">
        <v>23188770161892.391</v>
      </c>
      <c r="L13" s="5">
        <v>229990595268.35001</v>
      </c>
      <c r="M13" s="5">
        <v>116741674273.39999</v>
      </c>
      <c r="N13" s="6"/>
      <c r="O13" s="4">
        <v>25044833687532.859</v>
      </c>
      <c r="P13" s="6">
        <f t="shared" si="1"/>
        <v>0</v>
      </c>
    </row>
    <row r="14" spans="2:16" x14ac:dyDescent="0.2">
      <c r="B14" s="2" t="s">
        <v>18</v>
      </c>
      <c r="C14" s="41">
        <f t="shared" si="2"/>
        <v>45658</v>
      </c>
      <c r="D14" s="41" t="b">
        <f t="shared" si="3"/>
        <v>1</v>
      </c>
      <c r="E14" s="3">
        <f t="shared" si="0"/>
        <v>1.1882143324810955E-2</v>
      </c>
      <c r="F14" s="4">
        <f t="shared" si="4"/>
        <v>25052791174697.941</v>
      </c>
      <c r="G14" s="5">
        <v>795127368827.23999</v>
      </c>
      <c r="H14" s="5">
        <v>345051222582.00995</v>
      </c>
      <c r="I14" s="5">
        <v>180837986184.64999</v>
      </c>
      <c r="J14" s="5">
        <v>170348022276.65997</v>
      </c>
      <c r="K14" s="5">
        <v>23199253261894.871</v>
      </c>
      <c r="L14" s="5">
        <v>234840479784.84998</v>
      </c>
      <c r="M14" s="5">
        <v>127332833147.66</v>
      </c>
      <c r="N14" s="6"/>
      <c r="O14" s="4">
        <v>25052791174697.941</v>
      </c>
      <c r="P14" s="6">
        <f t="shared" si="1"/>
        <v>0</v>
      </c>
    </row>
    <row r="15" spans="2:16" x14ac:dyDescent="0.2">
      <c r="B15" s="2" t="s">
        <v>19</v>
      </c>
      <c r="C15" s="41">
        <f t="shared" si="2"/>
        <v>45689</v>
      </c>
      <c r="D15" s="41" t="b">
        <f t="shared" si="3"/>
        <v>1</v>
      </c>
      <c r="E15" s="3">
        <f t="shared" si="0"/>
        <v>1.1488650329802836E-2</v>
      </c>
      <c r="F15" s="4">
        <f t="shared" si="4"/>
        <v>25150412896072.43</v>
      </c>
      <c r="G15" s="5">
        <v>906983517371.53992</v>
      </c>
      <c r="H15" s="5">
        <v>372161766693.52991</v>
      </c>
      <c r="I15" s="5">
        <v>171141280883.34998</v>
      </c>
      <c r="J15" s="5">
        <v>156456631956.62</v>
      </c>
      <c r="K15" s="5">
        <v>23181815936649.473</v>
      </c>
      <c r="L15" s="5">
        <v>229366095061.39999</v>
      </c>
      <c r="M15" s="5">
        <v>132487667456.51999</v>
      </c>
      <c r="N15" s="6"/>
      <c r="O15" s="4">
        <v>25150412896072.43</v>
      </c>
      <c r="P15" s="6">
        <f t="shared" si="1"/>
        <v>0</v>
      </c>
    </row>
    <row r="16" spans="2:16" x14ac:dyDescent="0.2">
      <c r="B16" s="2" t="s">
        <v>20</v>
      </c>
      <c r="C16" s="41">
        <f t="shared" si="2"/>
        <v>45717</v>
      </c>
      <c r="D16" s="41" t="b">
        <f t="shared" si="3"/>
        <v>1</v>
      </c>
      <c r="E16" s="3">
        <f t="shared" si="0"/>
        <v>1.1103786485556429E-2</v>
      </c>
      <c r="F16" s="4">
        <f t="shared" si="4"/>
        <v>25200578766971.641</v>
      </c>
      <c r="G16" s="5">
        <v>773213100135.23999</v>
      </c>
      <c r="H16" s="5">
        <v>412096960306.06006</v>
      </c>
      <c r="I16" s="5">
        <v>196422720025.96002</v>
      </c>
      <c r="J16" s="5">
        <v>144175123692.86002</v>
      </c>
      <c r="K16" s="5">
        <v>23314883894647.961</v>
      </c>
      <c r="L16" s="5">
        <v>224140245915.51999</v>
      </c>
      <c r="M16" s="5">
        <v>135646722248.03999</v>
      </c>
      <c r="N16" s="6"/>
      <c r="O16" s="4">
        <v>25200578766971.641</v>
      </c>
      <c r="P16" s="6">
        <f t="shared" si="1"/>
        <v>0</v>
      </c>
    </row>
    <row r="17" spans="2:16" x14ac:dyDescent="0.2">
      <c r="B17" s="2" t="s">
        <v>21</v>
      </c>
      <c r="C17" s="41">
        <f t="shared" si="2"/>
        <v>45748</v>
      </c>
      <c r="D17" s="41" t="b">
        <f t="shared" si="3"/>
        <v>1</v>
      </c>
      <c r="E17" s="3">
        <f t="shared" si="0"/>
        <v>1.2641225048746705E-2</v>
      </c>
      <c r="F17" s="4">
        <f t="shared" si="4"/>
        <v>25413784835017.313</v>
      </c>
      <c r="G17" s="5">
        <v>850810277034.49988</v>
      </c>
      <c r="H17" s="5">
        <v>335615917868.84998</v>
      </c>
      <c r="I17" s="5">
        <v>220430159413.09</v>
      </c>
      <c r="J17" s="5">
        <v>186517288329.53</v>
      </c>
      <c r="K17" s="5">
        <v>23458575301198.473</v>
      </c>
      <c r="L17" s="5">
        <v>227091806062.52002</v>
      </c>
      <c r="M17" s="5">
        <v>134744085110.35001</v>
      </c>
      <c r="N17" s="6"/>
      <c r="O17" s="4">
        <v>25413784835017.313</v>
      </c>
      <c r="P17" s="6">
        <f t="shared" si="1"/>
        <v>0</v>
      </c>
    </row>
    <row r="18" spans="2:16" x14ac:dyDescent="0.2">
      <c r="B18" s="2" t="s">
        <v>22</v>
      </c>
      <c r="C18" s="41">
        <f t="shared" si="2"/>
        <v>45778</v>
      </c>
      <c r="D18" s="41" t="b">
        <f t="shared" si="3"/>
        <v>1</v>
      </c>
      <c r="E18" s="3">
        <f t="shared" si="0"/>
        <v>1.2979844065252027E-2</v>
      </c>
      <c r="F18" s="4">
        <f t="shared" si="4"/>
        <v>25578677495199.438</v>
      </c>
      <c r="G18" s="5">
        <v>781878104753.04993</v>
      </c>
      <c r="H18" s="5">
        <v>375839810750.32996</v>
      </c>
      <c r="I18" s="5">
        <v>189817134380.62003</v>
      </c>
      <c r="J18" s="5">
        <v>196041175573.84</v>
      </c>
      <c r="K18" s="5">
        <v>23668045429283.098</v>
      </c>
      <c r="L18" s="5">
        <v>231089770749.28003</v>
      </c>
      <c r="M18" s="5">
        <v>135966069709.22</v>
      </c>
      <c r="N18" s="6"/>
      <c r="O18" s="4">
        <v>25578677495199.438</v>
      </c>
      <c r="P18" s="6">
        <f t="shared" si="1"/>
        <v>0</v>
      </c>
    </row>
    <row r="19" spans="2:16" x14ac:dyDescent="0.2">
      <c r="B19" s="2" t="s">
        <v>23</v>
      </c>
      <c r="C19" s="41">
        <f t="shared" si="2"/>
        <v>45809</v>
      </c>
      <c r="D19" s="41" t="b">
        <f t="shared" si="3"/>
        <v>1</v>
      </c>
      <c r="E19" s="3">
        <f t="shared" si="0"/>
        <v>1.1902519557132287E-2</v>
      </c>
      <c r="F19" s="4">
        <f t="shared" si="4"/>
        <v>25654443771171.551</v>
      </c>
      <c r="G19" s="5">
        <v>835996189849.28003</v>
      </c>
      <c r="H19" s="5">
        <v>313782351630.46002</v>
      </c>
      <c r="I19" s="5">
        <v>199893500110.98001</v>
      </c>
      <c r="J19" s="5">
        <v>174816456748.89999</v>
      </c>
      <c r="K19" s="5">
        <v>23775246220247.109</v>
      </c>
      <c r="L19" s="5">
        <v>224172990620</v>
      </c>
      <c r="M19" s="5">
        <v>130536061964.81999</v>
      </c>
      <c r="N19" s="6"/>
      <c r="O19" s="4">
        <v>25654443771171.551</v>
      </c>
      <c r="P19" s="6">
        <f t="shared" si="1"/>
        <v>0</v>
      </c>
    </row>
    <row r="20" spans="2:16" x14ac:dyDescent="0.2">
      <c r="B20" s="2" t="s">
        <v>24</v>
      </c>
      <c r="C20" s="41">
        <f t="shared" si="2"/>
        <v>45839</v>
      </c>
      <c r="D20" s="41" t="b">
        <f t="shared" si="3"/>
        <v>1</v>
      </c>
      <c r="E20" s="3">
        <f t="shared" si="0"/>
        <v>1.2059826674667517E-2</v>
      </c>
      <c r="F20" s="4">
        <f t="shared" si="4"/>
        <v>25779928321376.258</v>
      </c>
      <c r="G20" s="5">
        <v>792085290794.23999</v>
      </c>
      <c r="H20" s="5">
        <v>367738645258.66998</v>
      </c>
      <c r="I20" s="5">
        <v>173912390035.08997</v>
      </c>
      <c r="J20" s="5">
        <v>173924260573.81998</v>
      </c>
      <c r="K20" s="5">
        <v>23900079688541.68</v>
      </c>
      <c r="L20" s="5">
        <v>235210839505.43002</v>
      </c>
      <c r="M20" s="5">
        <v>136977206667.32999</v>
      </c>
      <c r="N20" s="6"/>
      <c r="O20" s="4">
        <v>25779928321376.258</v>
      </c>
      <c r="P20" s="6">
        <f t="shared" si="1"/>
        <v>0</v>
      </c>
    </row>
    <row r="21" spans="2:16" x14ac:dyDescent="0.2">
      <c r="B21" s="2" t="s">
        <v>25</v>
      </c>
      <c r="C21" s="41">
        <f t="shared" si="2"/>
        <v>45870</v>
      </c>
      <c r="D21" s="41" t="b">
        <f t="shared" si="3"/>
        <v>1</v>
      </c>
      <c r="E21" s="3">
        <f t="shared" si="0"/>
        <v>1.2067684705264122E-2</v>
      </c>
      <c r="F21" s="4">
        <f t="shared" si="4"/>
        <v>25905033659972.305</v>
      </c>
      <c r="G21" s="5">
        <v>830377957208.86987</v>
      </c>
      <c r="H21" s="5">
        <v>377452773089.40002</v>
      </c>
      <c r="I21" s="5">
        <v>203077900875.05002</v>
      </c>
      <c r="J21" s="5">
        <v>168352258693.60001</v>
      </c>
      <c r="K21" s="5">
        <v>23942992768887.902</v>
      </c>
      <c r="L21" s="5">
        <v>238518481423.28</v>
      </c>
      <c r="M21" s="5">
        <v>144261519794.20001</v>
      </c>
      <c r="N21" s="6"/>
      <c r="O21" s="4">
        <v>25905033659972.305</v>
      </c>
      <c r="P21" s="6">
        <f t="shared" si="1"/>
        <v>0</v>
      </c>
    </row>
    <row r="22" spans="2:16" x14ac:dyDescent="0.2">
      <c r="B22" s="2" t="s">
        <v>26</v>
      </c>
      <c r="C22" s="41">
        <f t="shared" si="2"/>
        <v>45901</v>
      </c>
      <c r="D22" s="41" t="b">
        <f t="shared" si="3"/>
        <v>1</v>
      </c>
      <c r="E22" s="3">
        <f t="shared" si="0"/>
        <v>1.0892421331968171E-2</v>
      </c>
      <c r="F22" s="4">
        <f t="shared" si="4"/>
        <v>26057339043840.008</v>
      </c>
      <c r="G22" s="5">
        <v>856835375352.94006</v>
      </c>
      <c r="H22" s="5">
        <v>342247196128.77002</v>
      </c>
      <c r="I22" s="5">
        <v>179295671189.66</v>
      </c>
      <c r="J22" s="5">
        <v>179117921459.67001</v>
      </c>
      <c r="K22" s="5">
        <v>24124586512078.719</v>
      </c>
      <c r="L22" s="5">
        <v>270546773434.46997</v>
      </c>
      <c r="M22" s="5">
        <v>104709594195.78</v>
      </c>
      <c r="N22" s="6"/>
      <c r="O22" s="4">
        <v>26057339043840.008</v>
      </c>
      <c r="P22" s="6">
        <f t="shared" si="1"/>
        <v>0</v>
      </c>
    </row>
    <row r="23" spans="2:16" x14ac:dyDescent="0.2">
      <c r="B23" s="2" t="s">
        <v>27</v>
      </c>
      <c r="C23" s="41">
        <f t="shared" si="2"/>
        <v>45931</v>
      </c>
      <c r="D23" s="41" t="b">
        <f t="shared" si="3"/>
        <v>1</v>
      </c>
      <c r="E23" s="3">
        <f t="shared" si="0"/>
        <v>1.0747452122274371E-2</v>
      </c>
      <c r="F23" s="4">
        <f t="shared" si="4"/>
        <v>26175022093038.023</v>
      </c>
      <c r="G23" s="5">
        <v>787663637262.99011</v>
      </c>
      <c r="H23" s="5">
        <v>376182289614.59991</v>
      </c>
      <c r="I23" s="5">
        <v>173217556531.29001</v>
      </c>
      <c r="J23" s="5">
        <v>170247042757.63</v>
      </c>
      <c r="K23" s="5">
        <v>24283689388954.004</v>
      </c>
      <c r="L23" s="5">
        <v>272954423930.73999</v>
      </c>
      <c r="M23" s="5">
        <v>111067753986.77002</v>
      </c>
      <c r="N23" s="6"/>
      <c r="O23" s="4">
        <v>26175022093038.023</v>
      </c>
      <c r="P23" s="6">
        <f t="shared" si="1"/>
        <v>0</v>
      </c>
    </row>
    <row r="24" spans="2:16" x14ac:dyDescent="0.2">
      <c r="B24" s="2" t="s">
        <v>28</v>
      </c>
      <c r="C24" s="41">
        <f t="shared" si="2"/>
        <v>45962</v>
      </c>
      <c r="D24" s="41" t="b">
        <f t="shared" si="3"/>
        <v>1</v>
      </c>
      <c r="E24" s="3">
        <f t="shared" si="0"/>
        <v>1.1865969699701474E-2</v>
      </c>
      <c r="F24" s="4">
        <f t="shared" si="4"/>
        <v>26185004832880.781</v>
      </c>
      <c r="G24" s="5">
        <v>869955933034.0199</v>
      </c>
      <c r="H24" s="5">
        <v>359102279106.20001</v>
      </c>
      <c r="I24" s="5">
        <v>192270644925.16998</v>
      </c>
      <c r="J24" s="5">
        <v>174234982251.63998</v>
      </c>
      <c r="K24" s="5">
        <v>24211685965951.352</v>
      </c>
      <c r="L24" s="5">
        <v>241279535930.54004</v>
      </c>
      <c r="M24" s="5">
        <v>136475491681.85999</v>
      </c>
      <c r="N24" s="6"/>
      <c r="O24" s="4">
        <v>26185004832880.781</v>
      </c>
      <c r="P24" s="6">
        <f t="shared" si="1"/>
        <v>0</v>
      </c>
    </row>
    <row r="25" spans="2:16" x14ac:dyDescent="0.2">
      <c r="B25" s="2" t="s">
        <v>29</v>
      </c>
      <c r="C25" s="41">
        <f t="shared" si="2"/>
        <v>45992</v>
      </c>
      <c r="D25" s="41" t="b">
        <f t="shared" si="3"/>
        <v>1</v>
      </c>
      <c r="E25" s="3">
        <f t="shared" si="0"/>
        <v>1.2003634326995414E-2</v>
      </c>
      <c r="F25" s="4">
        <f t="shared" si="4"/>
        <v>26306751455881.02</v>
      </c>
      <c r="G25" s="5">
        <v>806740031570.14001</v>
      </c>
      <c r="H25" s="5">
        <v>348702058455.19995</v>
      </c>
      <c r="I25" s="5">
        <v>176340345608.16003</v>
      </c>
      <c r="J25" s="5">
        <v>166984546595.44</v>
      </c>
      <c r="K25" s="5">
        <v>24423088875648.508</v>
      </c>
      <c r="L25" s="5">
        <v>236103519791.45999</v>
      </c>
      <c r="M25" s="5">
        <v>148792078212.10999</v>
      </c>
      <c r="N25" s="6"/>
      <c r="O25" s="4">
        <v>26306751455881.02</v>
      </c>
      <c r="P25" s="6">
        <f t="shared" si="1"/>
        <v>0</v>
      </c>
    </row>
    <row r="26" spans="2:16" x14ac:dyDescent="0.2">
      <c r="B26" s="2" t="s">
        <v>30</v>
      </c>
      <c r="C26" s="41">
        <f t="shared" si="2"/>
        <v>46023</v>
      </c>
      <c r="D26" s="41" t="b">
        <f t="shared" si="3"/>
        <v>1</v>
      </c>
      <c r="E26" s="3">
        <f t="shared" si="0"/>
        <v>9.9209687275797903E-3</v>
      </c>
      <c r="F26" s="4">
        <f t="shared" si="4"/>
        <v>22384777578843.941</v>
      </c>
      <c r="G26" s="5">
        <v>693702611497.4801</v>
      </c>
      <c r="H26" s="5">
        <v>303414448907.06</v>
      </c>
      <c r="I26" s="5">
        <v>165591908361.66998</v>
      </c>
      <c r="J26" s="5">
        <v>148984077473.23001</v>
      </c>
      <c r="K26" s="5">
        <v>20764830163725.391</v>
      </c>
      <c r="L26" s="5">
        <v>235159768018.79999</v>
      </c>
      <c r="M26" s="5">
        <v>73094600860.309998</v>
      </c>
      <c r="N26" s="6"/>
      <c r="O26" s="4">
        <v>22384777578843.941</v>
      </c>
      <c r="P26" s="6">
        <f t="shared" si="1"/>
        <v>0</v>
      </c>
    </row>
    <row r="28" spans="2:16" x14ac:dyDescent="0.2">
      <c r="B28" s="40"/>
      <c r="C28" s="40"/>
      <c r="D28" s="40"/>
    </row>
    <row r="29" spans="2:16" x14ac:dyDescent="0.2">
      <c r="B29" s="40"/>
      <c r="C29" s="40"/>
      <c r="D29" s="40"/>
    </row>
    <row r="30" spans="2:16" x14ac:dyDescent="0.2">
      <c r="B30" s="40"/>
      <c r="C30" s="40"/>
      <c r="D30" s="40"/>
    </row>
    <row r="31" spans="2:16" x14ac:dyDescent="0.2">
      <c r="B31" s="40"/>
      <c r="C31" s="40"/>
      <c r="D31" s="40"/>
    </row>
    <row r="32" spans="2:16" x14ac:dyDescent="0.2">
      <c r="B32" s="40"/>
      <c r="C32" s="40"/>
      <c r="D32" s="40"/>
    </row>
    <row r="33" spans="2:4" x14ac:dyDescent="0.2">
      <c r="B33" s="40"/>
      <c r="C33" s="40"/>
      <c r="D33" s="40"/>
    </row>
    <row r="34" spans="2:4" x14ac:dyDescent="0.2">
      <c r="B34" s="40"/>
      <c r="C34" s="40"/>
      <c r="D34" s="40"/>
    </row>
    <row r="35" spans="2:4" x14ac:dyDescent="0.2">
      <c r="B35" s="40"/>
      <c r="C35" s="40"/>
      <c r="D35" s="40"/>
    </row>
    <row r="36" spans="2:4" x14ac:dyDescent="0.2">
      <c r="B36" s="40"/>
      <c r="C36" s="40"/>
      <c r="D36" s="40"/>
    </row>
    <row r="37" spans="2:4" x14ac:dyDescent="0.2">
      <c r="B37" s="40"/>
      <c r="C37" s="40"/>
      <c r="D37" s="40"/>
    </row>
    <row r="38" spans="2:4" x14ac:dyDescent="0.2">
      <c r="B38" s="40"/>
      <c r="C38" s="40"/>
      <c r="D38" s="40"/>
    </row>
    <row r="39" spans="2:4" x14ac:dyDescent="0.2">
      <c r="B39" s="40"/>
      <c r="C39" s="40"/>
      <c r="D39" s="40"/>
    </row>
    <row r="40" spans="2:4" x14ac:dyDescent="0.2">
      <c r="B40" s="40"/>
      <c r="C40" s="40"/>
      <c r="D40" s="40"/>
    </row>
    <row r="41" spans="2:4" x14ac:dyDescent="0.2">
      <c r="B41" s="40"/>
      <c r="C41" s="40"/>
      <c r="D41" s="40"/>
    </row>
    <row r="42" spans="2:4" x14ac:dyDescent="0.2">
      <c r="B42" s="40"/>
      <c r="C42" s="40"/>
      <c r="D42" s="40"/>
    </row>
    <row r="43" spans="2:4" x14ac:dyDescent="0.2">
      <c r="B43" s="40"/>
      <c r="C43" s="40"/>
      <c r="D43" s="40"/>
    </row>
    <row r="44" spans="2:4" x14ac:dyDescent="0.2">
      <c r="B44" s="40"/>
      <c r="C44" s="40"/>
      <c r="D44" s="40"/>
    </row>
    <row r="45" spans="2:4" x14ac:dyDescent="0.2">
      <c r="B45" s="40"/>
      <c r="C45" s="40"/>
      <c r="D45" s="40"/>
    </row>
    <row r="46" spans="2:4" x14ac:dyDescent="0.2">
      <c r="B46" s="40"/>
      <c r="C46" s="40"/>
      <c r="D46" s="40"/>
    </row>
    <row r="47" spans="2:4" x14ac:dyDescent="0.2">
      <c r="B47" s="40"/>
      <c r="C47" s="40"/>
      <c r="D47" s="40"/>
    </row>
    <row r="48" spans="2:4" x14ac:dyDescent="0.2">
      <c r="B48" s="40"/>
      <c r="C48" s="40"/>
      <c r="D48" s="40"/>
    </row>
    <row r="49" spans="2:4" x14ac:dyDescent="0.2">
      <c r="B49" s="40"/>
      <c r="C49" s="40"/>
      <c r="D49" s="40"/>
    </row>
    <row r="50" spans="2:4" x14ac:dyDescent="0.2">
      <c r="B50" s="40"/>
      <c r="C50" s="40"/>
      <c r="D50" s="40"/>
    </row>
    <row r="51" spans="2:4" x14ac:dyDescent="0.2">
      <c r="B51" s="40"/>
      <c r="C51" s="40"/>
      <c r="D51" s="40"/>
    </row>
    <row r="52" spans="2:4" x14ac:dyDescent="0.2">
      <c r="B52" s="40"/>
      <c r="C52" s="40"/>
      <c r="D52" s="40"/>
    </row>
    <row r="53" spans="2:4" x14ac:dyDescent="0.2">
      <c r="B53" s="40"/>
      <c r="C53" s="40"/>
      <c r="D53" s="40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4D92-9941-4DC7-80E6-3824172003EF}">
  <dimension ref="B1:W372"/>
  <sheetViews>
    <sheetView workbookViewId="0"/>
  </sheetViews>
  <sheetFormatPr defaultRowHeight="12.75" x14ac:dyDescent="0.2"/>
  <cols>
    <col min="1" max="1" width="2.42578125" style="14" customWidth="1"/>
    <col min="2" max="2" width="81.140625" style="14" bestFit="1" customWidth="1"/>
    <col min="3" max="4" width="5" style="9" hidden="1" customWidth="1"/>
    <col min="5" max="6" width="5.5703125" style="9" hidden="1" customWidth="1"/>
    <col min="7" max="20" width="5" style="9" hidden="1" customWidth="1"/>
    <col min="21" max="23" width="7.28515625" style="14" bestFit="1" customWidth="1"/>
    <col min="24" max="16384" width="9.140625" style="14"/>
  </cols>
  <sheetData>
    <row r="1" spans="2:23" ht="15.75" x14ac:dyDescent="0.25">
      <c r="B1" s="7" t="s">
        <v>39</v>
      </c>
      <c r="C1" s="8"/>
      <c r="D1" s="8"/>
      <c r="E1" s="8"/>
      <c r="F1" s="8"/>
      <c r="G1" s="8"/>
      <c r="H1" s="8"/>
      <c r="I1" s="8"/>
      <c r="J1" s="8"/>
      <c r="K1" s="8"/>
    </row>
    <row r="2" spans="2:23" ht="15.75" x14ac:dyDescent="0.25">
      <c r="B2" s="7" t="s">
        <v>40</v>
      </c>
      <c r="C2" s="8"/>
      <c r="D2" s="8"/>
      <c r="E2" s="8"/>
      <c r="F2" s="8"/>
      <c r="G2" s="8"/>
      <c r="H2" s="8"/>
      <c r="I2" s="8"/>
      <c r="J2" s="8"/>
      <c r="K2" s="8"/>
    </row>
    <row r="3" spans="2:23" x14ac:dyDescent="0.2">
      <c r="B3" s="13"/>
      <c r="C3" s="8"/>
      <c r="D3" s="8"/>
      <c r="E3" s="8"/>
      <c r="F3" s="8"/>
      <c r="G3" s="8"/>
      <c r="H3" s="8"/>
      <c r="I3" s="8"/>
      <c r="J3" s="8"/>
      <c r="K3" s="8"/>
    </row>
    <row r="5" spans="2:23" x14ac:dyDescent="0.2">
      <c r="B5" s="19"/>
      <c r="C5" s="8" t="s">
        <v>41</v>
      </c>
      <c r="D5" s="8" t="s">
        <v>42</v>
      </c>
      <c r="E5" s="8" t="s">
        <v>43</v>
      </c>
      <c r="F5" s="8" t="s">
        <v>44</v>
      </c>
      <c r="G5" s="8" t="s">
        <v>45</v>
      </c>
      <c r="H5" s="8" t="s">
        <v>46</v>
      </c>
      <c r="I5" s="8" t="s">
        <v>47</v>
      </c>
      <c r="J5" s="8" t="s">
        <v>48</v>
      </c>
      <c r="K5" s="8" t="s">
        <v>49</v>
      </c>
      <c r="L5" s="8" t="s">
        <v>50</v>
      </c>
      <c r="M5" s="8" t="s">
        <v>51</v>
      </c>
      <c r="N5" s="8" t="s">
        <v>52</v>
      </c>
      <c r="O5" s="8" t="s">
        <v>53</v>
      </c>
      <c r="P5" s="8" t="s">
        <v>54</v>
      </c>
      <c r="Q5" s="8" t="s">
        <v>55</v>
      </c>
      <c r="R5" s="8" t="s">
        <v>56</v>
      </c>
      <c r="S5" s="8" t="s">
        <v>57</v>
      </c>
      <c r="T5" s="8" t="s">
        <v>58</v>
      </c>
      <c r="U5" s="20" t="s">
        <v>59</v>
      </c>
      <c r="V5" s="20" t="s">
        <v>60</v>
      </c>
      <c r="W5" s="20" t="s">
        <v>61</v>
      </c>
    </row>
    <row r="6" spans="2:23" s="9" customFormat="1" x14ac:dyDescent="0.2">
      <c r="B6" s="8" t="s">
        <v>62</v>
      </c>
      <c r="C6" s="10"/>
      <c r="D6" s="10"/>
      <c r="E6" s="10"/>
      <c r="F6" s="10">
        <v>10</v>
      </c>
      <c r="G6" s="10">
        <v>9</v>
      </c>
      <c r="H6" s="10">
        <v>6.5</v>
      </c>
      <c r="I6" s="10">
        <v>5</v>
      </c>
      <c r="J6" s="10">
        <v>5</v>
      </c>
      <c r="K6" s="10">
        <v>3.75</v>
      </c>
      <c r="L6" s="10">
        <v>5.25</v>
      </c>
      <c r="M6" s="10">
        <v>2.25</v>
      </c>
      <c r="N6" s="10">
        <v>1.75</v>
      </c>
      <c r="O6" s="10">
        <v>4.75</v>
      </c>
      <c r="P6" s="10">
        <v>5.25</v>
      </c>
      <c r="Q6" s="10">
        <v>2.75</v>
      </c>
      <c r="R6" s="10">
        <v>0.75</v>
      </c>
      <c r="S6" s="10">
        <v>1.25</v>
      </c>
      <c r="T6" s="10">
        <v>9</v>
      </c>
      <c r="U6" s="10">
        <v>6</v>
      </c>
      <c r="V6" s="10">
        <v>4</v>
      </c>
      <c r="W6" s="10">
        <v>3.25</v>
      </c>
    </row>
    <row r="7" spans="2:23" s="9" customFormat="1" x14ac:dyDescent="0.2">
      <c r="B7" s="8" t="s">
        <v>63</v>
      </c>
      <c r="C7" s="10"/>
      <c r="D7" s="10">
        <v>8.9700000000000006</v>
      </c>
      <c r="E7" s="10">
        <v>5.52</v>
      </c>
      <c r="F7" s="10">
        <v>10</v>
      </c>
      <c r="G7" s="10">
        <v>9</v>
      </c>
      <c r="H7" s="10">
        <v>6.5</v>
      </c>
      <c r="I7" s="10">
        <v>5</v>
      </c>
      <c r="J7" s="10">
        <v>5</v>
      </c>
      <c r="K7" s="10">
        <v>3.75</v>
      </c>
      <c r="L7" s="10">
        <v>5.25</v>
      </c>
      <c r="M7" s="10">
        <v>2.25</v>
      </c>
      <c r="N7" s="10">
        <v>1.75</v>
      </c>
      <c r="O7" s="10">
        <v>4.75</v>
      </c>
      <c r="P7" s="10">
        <v>5.25</v>
      </c>
      <c r="Q7" s="10">
        <v>2.75</v>
      </c>
      <c r="R7" s="10">
        <v>0.75</v>
      </c>
      <c r="S7" s="10">
        <v>1.25</v>
      </c>
      <c r="T7" s="10">
        <v>9</v>
      </c>
      <c r="U7" s="10">
        <v>6</v>
      </c>
      <c r="V7" s="10">
        <v>4</v>
      </c>
      <c r="W7" s="10">
        <v>3.25</v>
      </c>
    </row>
    <row r="8" spans="2:23" s="9" customFormat="1" x14ac:dyDescent="0.2">
      <c r="B8" s="8" t="s">
        <v>64</v>
      </c>
      <c r="C8" s="10"/>
      <c r="D8" s="10">
        <v>8.9700000000000006</v>
      </c>
      <c r="E8" s="10">
        <v>5.52</v>
      </c>
      <c r="F8" s="10">
        <v>10</v>
      </c>
      <c r="G8" s="10">
        <v>9</v>
      </c>
      <c r="H8" s="10">
        <v>6.5</v>
      </c>
      <c r="I8" s="10">
        <v>5</v>
      </c>
      <c r="J8" s="10">
        <v>5</v>
      </c>
      <c r="K8" s="10">
        <v>3.75</v>
      </c>
      <c r="L8" s="10">
        <v>5.25</v>
      </c>
      <c r="M8" s="10">
        <v>2.25</v>
      </c>
      <c r="N8" s="10">
        <v>1.75</v>
      </c>
      <c r="O8" s="10">
        <v>4.75</v>
      </c>
      <c r="P8" s="10">
        <v>5.25</v>
      </c>
      <c r="Q8" s="10">
        <v>2.75</v>
      </c>
      <c r="R8" s="10">
        <v>0.75</v>
      </c>
      <c r="S8" s="10">
        <v>1.25</v>
      </c>
      <c r="T8" s="10">
        <v>9</v>
      </c>
      <c r="U8" s="10">
        <v>6</v>
      </c>
      <c r="V8" s="10">
        <v>4</v>
      </c>
      <c r="W8" s="10">
        <v>3.25</v>
      </c>
    </row>
    <row r="9" spans="2:23" s="9" customFormat="1" x14ac:dyDescent="0.2">
      <c r="B9" s="8" t="s">
        <v>65</v>
      </c>
      <c r="C9" s="10"/>
      <c r="D9" s="10">
        <v>8.9700000000000006</v>
      </c>
      <c r="E9" s="10">
        <v>5.52</v>
      </c>
      <c r="F9" s="10">
        <v>10</v>
      </c>
      <c r="G9" s="10">
        <v>9</v>
      </c>
      <c r="H9" s="10">
        <v>6.5</v>
      </c>
      <c r="I9" s="10">
        <v>5</v>
      </c>
      <c r="J9" s="10">
        <v>5</v>
      </c>
      <c r="K9" s="10">
        <v>3.75</v>
      </c>
      <c r="L9" s="10">
        <v>5.25</v>
      </c>
      <c r="M9" s="10">
        <v>1.75</v>
      </c>
      <c r="N9" s="10">
        <v>1.75</v>
      </c>
      <c r="O9" s="10">
        <v>4.75</v>
      </c>
      <c r="P9" s="10">
        <v>5.25</v>
      </c>
      <c r="Q9" s="10">
        <v>2.75</v>
      </c>
      <c r="R9" s="10">
        <v>0.75</v>
      </c>
      <c r="S9" s="10">
        <v>1.25</v>
      </c>
      <c r="T9" s="10">
        <v>9</v>
      </c>
      <c r="U9" s="10">
        <v>6</v>
      </c>
      <c r="V9" s="10">
        <v>4</v>
      </c>
      <c r="W9" s="10">
        <v>3.25</v>
      </c>
    </row>
    <row r="10" spans="2:23" s="9" customFormat="1" x14ac:dyDescent="0.2">
      <c r="B10" s="8" t="s">
        <v>66</v>
      </c>
      <c r="C10" s="10"/>
      <c r="D10" s="10">
        <v>8.9700000000000006</v>
      </c>
      <c r="E10" s="10"/>
      <c r="F10" s="10">
        <v>10</v>
      </c>
      <c r="G10" s="10">
        <v>9</v>
      </c>
      <c r="H10" s="10">
        <v>6.5</v>
      </c>
      <c r="I10" s="10">
        <v>5</v>
      </c>
      <c r="J10" s="10">
        <v>5</v>
      </c>
      <c r="K10" s="10">
        <v>3.75</v>
      </c>
      <c r="L10" s="10">
        <v>5.25</v>
      </c>
      <c r="M10" s="10">
        <v>1.75</v>
      </c>
      <c r="N10" s="10">
        <v>1.75</v>
      </c>
      <c r="O10" s="10">
        <v>4.75</v>
      </c>
      <c r="P10" s="10">
        <v>5.25</v>
      </c>
      <c r="Q10" s="10">
        <v>2.75</v>
      </c>
      <c r="R10" s="10">
        <v>0.75</v>
      </c>
      <c r="S10" s="10">
        <v>1.25</v>
      </c>
      <c r="T10" s="10">
        <v>9</v>
      </c>
      <c r="U10" s="10">
        <v>6</v>
      </c>
      <c r="V10" s="10">
        <v>4</v>
      </c>
      <c r="W10" s="10">
        <v>3.25</v>
      </c>
    </row>
    <row r="11" spans="2:23" s="9" customFormat="1" x14ac:dyDescent="0.2">
      <c r="B11" s="8" t="s">
        <v>67</v>
      </c>
      <c r="C11" s="10"/>
      <c r="D11" s="10"/>
      <c r="E11" s="10"/>
      <c r="F11" s="10">
        <v>10</v>
      </c>
      <c r="G11" s="10">
        <v>9</v>
      </c>
      <c r="H11" s="10">
        <v>6.5</v>
      </c>
      <c r="I11" s="10">
        <v>5</v>
      </c>
      <c r="J11" s="10">
        <v>5</v>
      </c>
      <c r="K11" s="10">
        <v>3.75</v>
      </c>
      <c r="L11" s="10">
        <v>5.25</v>
      </c>
      <c r="M11" s="10">
        <v>1.75</v>
      </c>
      <c r="N11" s="10">
        <v>1.75</v>
      </c>
      <c r="O11" s="10">
        <v>4.75</v>
      </c>
      <c r="P11" s="10">
        <v>5.25</v>
      </c>
      <c r="Q11" s="10">
        <v>2.75</v>
      </c>
      <c r="R11" s="10">
        <v>0.75</v>
      </c>
      <c r="S11" s="10">
        <v>1.25</v>
      </c>
      <c r="T11" s="10">
        <v>9</v>
      </c>
      <c r="U11" s="10">
        <v>6</v>
      </c>
      <c r="V11" s="10">
        <v>4</v>
      </c>
      <c r="W11" s="10">
        <v>3.25</v>
      </c>
    </row>
    <row r="12" spans="2:23" s="9" customFormat="1" x14ac:dyDescent="0.2">
      <c r="B12" s="8" t="s">
        <v>68</v>
      </c>
      <c r="C12" s="10"/>
      <c r="D12" s="10"/>
      <c r="E12" s="10">
        <v>5.52</v>
      </c>
      <c r="F12" s="10">
        <v>10</v>
      </c>
      <c r="G12" s="10">
        <v>9</v>
      </c>
      <c r="H12" s="10">
        <v>6.5</v>
      </c>
      <c r="I12" s="10">
        <v>5</v>
      </c>
      <c r="J12" s="10">
        <v>5</v>
      </c>
      <c r="K12" s="10">
        <v>3.75</v>
      </c>
      <c r="L12" s="10">
        <v>5.25</v>
      </c>
      <c r="M12" s="10">
        <v>1.75</v>
      </c>
      <c r="N12" s="10">
        <v>1.75</v>
      </c>
      <c r="O12" s="10">
        <v>4.75</v>
      </c>
      <c r="P12" s="10">
        <v>5.25</v>
      </c>
      <c r="Q12" s="10">
        <v>2.75</v>
      </c>
      <c r="R12" s="10">
        <v>0.75</v>
      </c>
      <c r="S12" s="10">
        <v>1.25</v>
      </c>
      <c r="T12" s="10">
        <v>9</v>
      </c>
      <c r="U12" s="10">
        <v>6</v>
      </c>
      <c r="V12" s="10">
        <v>4</v>
      </c>
      <c r="W12" s="10">
        <v>3.25</v>
      </c>
    </row>
    <row r="13" spans="2:23" s="9" customFormat="1" x14ac:dyDescent="0.2">
      <c r="B13" s="8" t="s">
        <v>69</v>
      </c>
      <c r="C13" s="10"/>
      <c r="D13" s="10">
        <v>8.9700000000000006</v>
      </c>
      <c r="E13" s="10">
        <v>5.52</v>
      </c>
      <c r="F13" s="10">
        <v>10</v>
      </c>
      <c r="G13" s="10">
        <v>9</v>
      </c>
      <c r="H13" s="10">
        <v>6.5</v>
      </c>
      <c r="I13" s="10">
        <v>5</v>
      </c>
      <c r="J13" s="10">
        <v>5</v>
      </c>
      <c r="K13" s="10">
        <v>3.75</v>
      </c>
      <c r="L13" s="10">
        <v>5.25</v>
      </c>
      <c r="M13" s="10">
        <v>1.75</v>
      </c>
      <c r="N13" s="10">
        <v>1.75</v>
      </c>
      <c r="O13" s="10">
        <v>4.75</v>
      </c>
      <c r="P13" s="10">
        <v>5.25</v>
      </c>
      <c r="Q13" s="10">
        <v>2.75</v>
      </c>
      <c r="R13" s="10">
        <v>0.75</v>
      </c>
      <c r="S13" s="10">
        <v>1.25</v>
      </c>
      <c r="T13" s="10">
        <v>9</v>
      </c>
      <c r="U13" s="10">
        <v>6</v>
      </c>
      <c r="V13" s="10">
        <v>4</v>
      </c>
      <c r="W13" s="10">
        <v>3.25</v>
      </c>
    </row>
    <row r="14" spans="2:23" s="9" customFormat="1" x14ac:dyDescent="0.2">
      <c r="B14" s="8" t="s">
        <v>70</v>
      </c>
      <c r="C14" s="10"/>
      <c r="D14" s="10">
        <v>8.9700000000000006</v>
      </c>
      <c r="E14" s="10">
        <v>5.52</v>
      </c>
      <c r="F14" s="10">
        <v>10</v>
      </c>
      <c r="G14" s="10">
        <v>9</v>
      </c>
      <c r="H14" s="10">
        <v>6.5</v>
      </c>
      <c r="I14" s="10">
        <v>5</v>
      </c>
      <c r="J14" s="10">
        <v>5</v>
      </c>
      <c r="K14" s="10">
        <v>3.75</v>
      </c>
      <c r="L14" s="10">
        <v>5.25</v>
      </c>
      <c r="M14" s="10">
        <v>1.75</v>
      </c>
      <c r="N14" s="10">
        <v>1.75</v>
      </c>
      <c r="O14" s="10">
        <v>4.75</v>
      </c>
      <c r="P14" s="10">
        <v>5.25</v>
      </c>
      <c r="Q14" s="10">
        <v>2.75</v>
      </c>
      <c r="R14" s="10">
        <v>0.75</v>
      </c>
      <c r="S14" s="10">
        <v>1.25</v>
      </c>
      <c r="T14" s="10">
        <v>9</v>
      </c>
      <c r="U14" s="10">
        <v>6</v>
      </c>
      <c r="V14" s="10">
        <v>4</v>
      </c>
      <c r="W14" s="10">
        <v>3.25</v>
      </c>
    </row>
    <row r="15" spans="2:23" s="9" customFormat="1" x14ac:dyDescent="0.2">
      <c r="B15" s="8" t="s">
        <v>71</v>
      </c>
      <c r="C15" s="10"/>
      <c r="D15" s="10">
        <v>8.9700000000000006</v>
      </c>
      <c r="E15" s="10">
        <v>5.52</v>
      </c>
      <c r="F15" s="10">
        <v>10</v>
      </c>
      <c r="G15" s="10">
        <v>9</v>
      </c>
      <c r="H15" s="10">
        <v>6.5</v>
      </c>
      <c r="I15" s="10">
        <v>5</v>
      </c>
      <c r="J15" s="10">
        <v>5</v>
      </c>
      <c r="K15" s="10">
        <v>3.75</v>
      </c>
      <c r="L15" s="10">
        <v>5.25</v>
      </c>
      <c r="M15" s="10">
        <v>1.75</v>
      </c>
      <c r="N15" s="10">
        <v>1.75</v>
      </c>
      <c r="O15" s="10">
        <v>4.75</v>
      </c>
      <c r="P15" s="10">
        <v>5.25</v>
      </c>
      <c r="Q15" s="10">
        <v>2.75</v>
      </c>
      <c r="R15" s="10">
        <v>0.75</v>
      </c>
      <c r="S15" s="10">
        <v>1.25</v>
      </c>
      <c r="T15" s="10">
        <v>9</v>
      </c>
      <c r="U15" s="10">
        <v>6</v>
      </c>
      <c r="V15" s="10">
        <v>4</v>
      </c>
      <c r="W15" s="10">
        <v>3.25</v>
      </c>
    </row>
    <row r="16" spans="2:23" s="9" customFormat="1" x14ac:dyDescent="0.2">
      <c r="B16" s="8" t="s">
        <v>72</v>
      </c>
      <c r="C16" s="10"/>
      <c r="D16" s="10">
        <v>8.9700000000000006</v>
      </c>
      <c r="E16" s="10">
        <v>5.52</v>
      </c>
      <c r="F16" s="10">
        <v>10</v>
      </c>
      <c r="G16" s="10">
        <v>9</v>
      </c>
      <c r="H16" s="10">
        <v>6.5</v>
      </c>
      <c r="I16" s="10">
        <v>5</v>
      </c>
      <c r="J16" s="10">
        <v>5</v>
      </c>
      <c r="K16" s="10">
        <v>3.75</v>
      </c>
      <c r="L16" s="10">
        <v>5.25</v>
      </c>
      <c r="M16" s="10">
        <v>1.75</v>
      </c>
      <c r="N16" s="10">
        <v>1.75</v>
      </c>
      <c r="O16" s="10">
        <v>4.75</v>
      </c>
      <c r="P16" s="10">
        <v>5.25</v>
      </c>
      <c r="Q16" s="10">
        <v>2.75</v>
      </c>
      <c r="R16" s="10">
        <v>0.75</v>
      </c>
      <c r="S16" s="10">
        <v>1.25</v>
      </c>
      <c r="T16" s="10">
        <v>9</v>
      </c>
      <c r="U16" s="10">
        <v>6</v>
      </c>
      <c r="V16" s="10">
        <v>4</v>
      </c>
      <c r="W16" s="10">
        <v>3.25</v>
      </c>
    </row>
    <row r="17" spans="2:23" s="9" customFormat="1" x14ac:dyDescent="0.2">
      <c r="B17" s="8" t="s">
        <v>73</v>
      </c>
      <c r="C17" s="10"/>
      <c r="D17" s="10">
        <v>8.9700000000000006</v>
      </c>
      <c r="E17" s="10"/>
      <c r="F17" s="10">
        <v>10</v>
      </c>
      <c r="G17" s="10">
        <v>9</v>
      </c>
      <c r="H17" s="10">
        <v>6.5</v>
      </c>
      <c r="I17" s="10">
        <v>5</v>
      </c>
      <c r="J17" s="10">
        <v>5</v>
      </c>
      <c r="K17" s="10">
        <v>3.75</v>
      </c>
      <c r="L17" s="10">
        <v>5.25</v>
      </c>
      <c r="M17" s="10">
        <v>1.75</v>
      </c>
      <c r="N17" s="10">
        <v>1.75</v>
      </c>
      <c r="O17" s="10">
        <v>4.75</v>
      </c>
      <c r="P17" s="10">
        <v>5.25</v>
      </c>
      <c r="Q17" s="10">
        <v>2.75</v>
      </c>
      <c r="R17" s="10">
        <v>0.75</v>
      </c>
      <c r="S17" s="10">
        <v>1.25</v>
      </c>
      <c r="T17" s="10">
        <v>9</v>
      </c>
      <c r="U17" s="10">
        <v>6</v>
      </c>
      <c r="V17" s="10">
        <v>4</v>
      </c>
      <c r="W17" s="10">
        <v>3.25</v>
      </c>
    </row>
    <row r="18" spans="2:23" s="9" customFormat="1" x14ac:dyDescent="0.2">
      <c r="B18" s="8" t="s">
        <v>74</v>
      </c>
      <c r="C18" s="10"/>
      <c r="D18" s="10"/>
      <c r="E18" s="10"/>
      <c r="F18" s="10">
        <v>10</v>
      </c>
      <c r="G18" s="10">
        <v>9</v>
      </c>
      <c r="H18" s="10">
        <v>6.5</v>
      </c>
      <c r="I18" s="10">
        <v>5</v>
      </c>
      <c r="J18" s="10">
        <v>5</v>
      </c>
      <c r="K18" s="10">
        <v>3.75</v>
      </c>
      <c r="L18" s="10">
        <v>5.25</v>
      </c>
      <c r="M18" s="10">
        <v>1.75</v>
      </c>
      <c r="N18" s="10">
        <v>1.75</v>
      </c>
      <c r="O18" s="10">
        <v>4.75</v>
      </c>
      <c r="P18" s="10">
        <v>5.25</v>
      </c>
      <c r="Q18" s="10">
        <v>2.75</v>
      </c>
      <c r="R18" s="10">
        <v>0.75</v>
      </c>
      <c r="S18" s="10">
        <v>1.25</v>
      </c>
      <c r="T18" s="10">
        <v>9</v>
      </c>
      <c r="U18" s="10">
        <v>6</v>
      </c>
      <c r="V18" s="10">
        <v>4</v>
      </c>
      <c r="W18" s="10">
        <v>3.25</v>
      </c>
    </row>
    <row r="19" spans="2:23" s="9" customFormat="1" x14ac:dyDescent="0.2">
      <c r="B19" s="8" t="s">
        <v>75</v>
      </c>
      <c r="C19" s="10"/>
      <c r="D19" s="10"/>
      <c r="E19" s="10">
        <v>5.52</v>
      </c>
      <c r="F19" s="10">
        <v>10</v>
      </c>
      <c r="G19" s="10">
        <v>9</v>
      </c>
      <c r="H19" s="10">
        <v>6.5</v>
      </c>
      <c r="I19" s="10">
        <v>5</v>
      </c>
      <c r="J19" s="10">
        <v>5</v>
      </c>
      <c r="K19" s="10">
        <v>3.75</v>
      </c>
      <c r="L19" s="10">
        <v>5.25</v>
      </c>
      <c r="M19" s="10">
        <v>1.75</v>
      </c>
      <c r="N19" s="10">
        <v>1.75</v>
      </c>
      <c r="O19" s="10">
        <v>4.75</v>
      </c>
      <c r="P19" s="10">
        <v>5.25</v>
      </c>
      <c r="Q19" s="10">
        <v>2.75</v>
      </c>
      <c r="R19" s="10">
        <v>0.75</v>
      </c>
      <c r="S19" s="10">
        <v>1.25</v>
      </c>
      <c r="T19" s="10">
        <v>9</v>
      </c>
      <c r="U19" s="10">
        <v>6</v>
      </c>
      <c r="V19" s="10">
        <v>4</v>
      </c>
      <c r="W19" s="10">
        <v>3.25</v>
      </c>
    </row>
    <row r="20" spans="2:23" s="9" customFormat="1" x14ac:dyDescent="0.2">
      <c r="B20" s="8" t="s">
        <v>76</v>
      </c>
      <c r="C20" s="10"/>
      <c r="D20" s="10">
        <v>8.9700000000000006</v>
      </c>
      <c r="E20" s="10">
        <v>5.52</v>
      </c>
      <c r="F20" s="10">
        <v>10</v>
      </c>
      <c r="G20" s="10">
        <v>9</v>
      </c>
      <c r="H20" s="10">
        <v>6.5</v>
      </c>
      <c r="I20" s="10">
        <v>5</v>
      </c>
      <c r="J20" s="10">
        <v>5</v>
      </c>
      <c r="K20" s="10">
        <v>3.75</v>
      </c>
      <c r="L20" s="10">
        <v>5.25</v>
      </c>
      <c r="M20" s="10">
        <v>1.75</v>
      </c>
      <c r="N20" s="10">
        <v>1.75</v>
      </c>
      <c r="O20" s="10">
        <v>4.75</v>
      </c>
      <c r="P20" s="10">
        <v>5.25</v>
      </c>
      <c r="Q20" s="10">
        <v>2.75</v>
      </c>
      <c r="R20" s="10">
        <v>0.75</v>
      </c>
      <c r="S20" s="10">
        <v>1.25</v>
      </c>
      <c r="T20" s="10">
        <v>9</v>
      </c>
      <c r="U20" s="10">
        <v>6</v>
      </c>
      <c r="V20" s="10">
        <v>4</v>
      </c>
      <c r="W20" s="10">
        <v>3.25</v>
      </c>
    </row>
    <row r="21" spans="2:23" s="9" customFormat="1" x14ac:dyDescent="0.2">
      <c r="B21" s="8" t="s">
        <v>77</v>
      </c>
      <c r="C21" s="10"/>
      <c r="D21" s="10">
        <v>8.9700000000000006</v>
      </c>
      <c r="E21" s="10">
        <v>5.52</v>
      </c>
      <c r="F21" s="10">
        <v>10</v>
      </c>
      <c r="G21" s="10">
        <v>9</v>
      </c>
      <c r="H21" s="10">
        <v>6.5</v>
      </c>
      <c r="I21" s="10">
        <v>5</v>
      </c>
      <c r="J21" s="10">
        <v>5</v>
      </c>
      <c r="K21" s="10">
        <v>3.75</v>
      </c>
      <c r="L21" s="10">
        <v>5.25</v>
      </c>
      <c r="M21" s="10">
        <v>1.75</v>
      </c>
      <c r="N21" s="10">
        <v>1.75</v>
      </c>
      <c r="O21" s="10">
        <v>4.75</v>
      </c>
      <c r="P21" s="10">
        <v>5.25</v>
      </c>
      <c r="Q21" s="10">
        <v>2.75</v>
      </c>
      <c r="R21" s="10">
        <v>0.75</v>
      </c>
      <c r="S21" s="10">
        <v>1.25</v>
      </c>
      <c r="T21" s="10">
        <v>9</v>
      </c>
      <c r="U21" s="10">
        <v>6</v>
      </c>
      <c r="V21" s="10">
        <v>4</v>
      </c>
      <c r="W21" s="10">
        <v>3.25</v>
      </c>
    </row>
    <row r="22" spans="2:23" s="9" customFormat="1" x14ac:dyDescent="0.2">
      <c r="B22" s="8" t="s">
        <v>78</v>
      </c>
      <c r="C22" s="10"/>
      <c r="D22" s="10">
        <v>8.9700000000000006</v>
      </c>
      <c r="E22" s="10">
        <v>5.52</v>
      </c>
      <c r="F22" s="10">
        <v>10</v>
      </c>
      <c r="G22" s="10">
        <v>9</v>
      </c>
      <c r="H22" s="10">
        <v>6.5</v>
      </c>
      <c r="I22" s="10">
        <v>5</v>
      </c>
      <c r="J22" s="10">
        <v>5</v>
      </c>
      <c r="K22" s="10">
        <v>3.75</v>
      </c>
      <c r="L22" s="10">
        <v>5.25</v>
      </c>
      <c r="M22" s="10">
        <v>1.75</v>
      </c>
      <c r="N22" s="10">
        <v>1.75</v>
      </c>
      <c r="O22" s="10">
        <v>4.75</v>
      </c>
      <c r="P22" s="10">
        <v>5.25</v>
      </c>
      <c r="Q22" s="10">
        <v>2.75</v>
      </c>
      <c r="R22" s="10">
        <v>0.75</v>
      </c>
      <c r="S22" s="10">
        <v>1.25</v>
      </c>
      <c r="T22" s="10">
        <v>9</v>
      </c>
      <c r="U22" s="10">
        <v>6</v>
      </c>
      <c r="V22" s="10">
        <v>4</v>
      </c>
      <c r="W22" s="10">
        <v>3.25</v>
      </c>
    </row>
    <row r="23" spans="2:23" s="9" customFormat="1" x14ac:dyDescent="0.2">
      <c r="B23" s="8" t="s">
        <v>79</v>
      </c>
      <c r="C23" s="10"/>
      <c r="D23" s="10">
        <v>8.9700000000000006</v>
      </c>
      <c r="E23" s="10">
        <v>5.52</v>
      </c>
      <c r="F23" s="10">
        <v>10</v>
      </c>
      <c r="G23" s="10">
        <v>9</v>
      </c>
      <c r="H23" s="10">
        <v>6.5</v>
      </c>
      <c r="I23" s="10">
        <v>5</v>
      </c>
      <c r="J23" s="10">
        <v>5</v>
      </c>
      <c r="K23" s="10">
        <v>3.75</v>
      </c>
      <c r="L23" s="10">
        <v>5.25</v>
      </c>
      <c r="M23" s="10">
        <v>1.75</v>
      </c>
      <c r="N23" s="10">
        <v>1.75</v>
      </c>
      <c r="O23" s="10">
        <v>4.75</v>
      </c>
      <c r="P23" s="10">
        <v>5.25</v>
      </c>
      <c r="Q23" s="10">
        <v>2.75</v>
      </c>
      <c r="R23" s="10">
        <v>0.75</v>
      </c>
      <c r="S23" s="10">
        <v>1.25</v>
      </c>
      <c r="T23" s="10">
        <v>9</v>
      </c>
      <c r="U23" s="10">
        <v>6</v>
      </c>
      <c r="V23" s="10">
        <v>4</v>
      </c>
      <c r="W23" s="10">
        <v>3.25</v>
      </c>
    </row>
    <row r="24" spans="2:23" s="9" customFormat="1" x14ac:dyDescent="0.2">
      <c r="B24" s="8" t="s">
        <v>80</v>
      </c>
      <c r="C24" s="10"/>
      <c r="D24" s="10">
        <v>8.9700000000000006</v>
      </c>
      <c r="E24" s="10"/>
      <c r="F24" s="10">
        <v>10</v>
      </c>
      <c r="G24" s="10">
        <v>9</v>
      </c>
      <c r="H24" s="10">
        <v>6.5</v>
      </c>
      <c r="I24" s="10">
        <v>5</v>
      </c>
      <c r="J24" s="10">
        <v>5</v>
      </c>
      <c r="K24" s="10">
        <v>3.75</v>
      </c>
      <c r="L24" s="10">
        <v>5.25</v>
      </c>
      <c r="M24" s="10">
        <v>1.75</v>
      </c>
      <c r="N24" s="10">
        <v>1.75</v>
      </c>
      <c r="O24" s="10">
        <v>4.75</v>
      </c>
      <c r="P24" s="10">
        <v>5.25</v>
      </c>
      <c r="Q24" s="10">
        <v>2.75</v>
      </c>
      <c r="R24" s="10">
        <v>0.75</v>
      </c>
      <c r="S24" s="10">
        <v>1.25</v>
      </c>
      <c r="T24" s="10">
        <v>9</v>
      </c>
      <c r="U24" s="10">
        <v>5.75</v>
      </c>
      <c r="V24" s="10">
        <v>4</v>
      </c>
      <c r="W24" s="10">
        <v>3.25</v>
      </c>
    </row>
    <row r="25" spans="2:23" s="9" customFormat="1" x14ac:dyDescent="0.2">
      <c r="B25" s="8" t="s">
        <v>81</v>
      </c>
      <c r="C25" s="10"/>
      <c r="D25" s="10"/>
      <c r="E25" s="10"/>
      <c r="F25" s="10">
        <v>10</v>
      </c>
      <c r="G25" s="10">
        <v>9</v>
      </c>
      <c r="H25" s="10">
        <v>6.5</v>
      </c>
      <c r="I25" s="10">
        <v>5</v>
      </c>
      <c r="J25" s="10">
        <v>5</v>
      </c>
      <c r="K25" s="10">
        <v>3.75</v>
      </c>
      <c r="L25" s="10">
        <v>5.25</v>
      </c>
      <c r="M25" s="10">
        <v>1.75</v>
      </c>
      <c r="N25" s="10">
        <v>1.75</v>
      </c>
      <c r="O25" s="10">
        <v>4.75</v>
      </c>
      <c r="P25" s="10">
        <v>5.25</v>
      </c>
      <c r="Q25" s="10">
        <v>2.75</v>
      </c>
      <c r="R25" s="10">
        <v>0.75</v>
      </c>
      <c r="S25" s="10">
        <v>1.25</v>
      </c>
      <c r="T25" s="10">
        <v>9</v>
      </c>
      <c r="U25" s="10">
        <v>5.75</v>
      </c>
      <c r="V25" s="10">
        <v>4</v>
      </c>
      <c r="W25" s="10">
        <v>3.25</v>
      </c>
    </row>
    <row r="26" spans="2:23" s="9" customFormat="1" x14ac:dyDescent="0.2">
      <c r="B26" s="8" t="s">
        <v>82</v>
      </c>
      <c r="C26" s="10"/>
      <c r="D26" s="10"/>
      <c r="E26" s="10">
        <v>5.52</v>
      </c>
      <c r="F26" s="10">
        <v>10</v>
      </c>
      <c r="G26" s="10">
        <v>9</v>
      </c>
      <c r="H26" s="10">
        <v>6.5</v>
      </c>
      <c r="I26" s="10">
        <v>5</v>
      </c>
      <c r="J26" s="10">
        <v>5</v>
      </c>
      <c r="K26" s="10">
        <v>3.75</v>
      </c>
      <c r="L26" s="10">
        <v>5.25</v>
      </c>
      <c r="M26" s="10">
        <v>1.75</v>
      </c>
      <c r="N26" s="10">
        <v>1.75</v>
      </c>
      <c r="O26" s="10">
        <v>4.75</v>
      </c>
      <c r="P26" s="10">
        <v>5.25</v>
      </c>
      <c r="Q26" s="10">
        <v>2.75</v>
      </c>
      <c r="R26" s="10">
        <v>0.75</v>
      </c>
      <c r="S26" s="10">
        <v>1.25</v>
      </c>
      <c r="T26" s="10">
        <v>9</v>
      </c>
      <c r="U26" s="10">
        <v>5.75</v>
      </c>
      <c r="V26" s="10">
        <v>4</v>
      </c>
      <c r="W26" s="10">
        <v>3.25</v>
      </c>
    </row>
    <row r="27" spans="2:23" s="9" customFormat="1" x14ac:dyDescent="0.2">
      <c r="B27" s="8" t="s">
        <v>83</v>
      </c>
      <c r="C27" s="10"/>
      <c r="D27" s="10">
        <v>8.9700000000000006</v>
      </c>
      <c r="E27" s="10">
        <v>5.52</v>
      </c>
      <c r="F27" s="10">
        <v>10</v>
      </c>
      <c r="G27" s="10">
        <v>9</v>
      </c>
      <c r="H27" s="10">
        <v>6.5</v>
      </c>
      <c r="I27" s="10">
        <v>5</v>
      </c>
      <c r="J27" s="10">
        <v>5</v>
      </c>
      <c r="K27" s="10">
        <v>3.75</v>
      </c>
      <c r="L27" s="10">
        <v>5.25</v>
      </c>
      <c r="M27" s="10">
        <v>1.75</v>
      </c>
      <c r="N27" s="10">
        <v>1.75</v>
      </c>
      <c r="O27" s="10">
        <v>4.75</v>
      </c>
      <c r="P27" s="10">
        <v>5.25</v>
      </c>
      <c r="Q27" s="10">
        <v>2.75</v>
      </c>
      <c r="R27" s="10">
        <v>0.75</v>
      </c>
      <c r="S27" s="10">
        <v>1.25</v>
      </c>
      <c r="T27" s="10">
        <v>9</v>
      </c>
      <c r="U27" s="10">
        <v>5.75</v>
      </c>
      <c r="V27" s="10">
        <v>4</v>
      </c>
      <c r="W27" s="10">
        <v>3.25</v>
      </c>
    </row>
    <row r="28" spans="2:23" s="9" customFormat="1" x14ac:dyDescent="0.2">
      <c r="B28" s="8" t="s">
        <v>84</v>
      </c>
      <c r="C28" s="10"/>
      <c r="D28" s="10">
        <v>8.9700000000000006</v>
      </c>
      <c r="E28" s="10">
        <v>5.52</v>
      </c>
      <c r="F28" s="10">
        <v>10</v>
      </c>
      <c r="G28" s="10">
        <v>9</v>
      </c>
      <c r="H28" s="10">
        <v>6.5</v>
      </c>
      <c r="I28" s="10">
        <v>5</v>
      </c>
      <c r="J28" s="10">
        <v>5</v>
      </c>
      <c r="K28" s="10">
        <v>3.75</v>
      </c>
      <c r="L28" s="10">
        <v>5.25</v>
      </c>
      <c r="M28" s="10">
        <v>1.75</v>
      </c>
      <c r="N28" s="10">
        <v>1.75</v>
      </c>
      <c r="O28" s="10">
        <v>4.75</v>
      </c>
      <c r="P28" s="10">
        <v>5.25</v>
      </c>
      <c r="Q28" s="10">
        <v>2.75</v>
      </c>
      <c r="R28" s="10">
        <v>0.75</v>
      </c>
      <c r="S28" s="10">
        <v>1.25</v>
      </c>
      <c r="T28" s="10">
        <v>9</v>
      </c>
      <c r="U28" s="10">
        <v>5.75</v>
      </c>
      <c r="V28" s="10">
        <v>4</v>
      </c>
      <c r="W28" s="10">
        <v>3.25</v>
      </c>
    </row>
    <row r="29" spans="2:23" s="9" customFormat="1" x14ac:dyDescent="0.2">
      <c r="B29" s="8" t="s">
        <v>85</v>
      </c>
      <c r="C29" s="10"/>
      <c r="D29" s="10">
        <v>8.9700000000000006</v>
      </c>
      <c r="E29" s="10">
        <v>5.52</v>
      </c>
      <c r="F29" s="10">
        <v>10</v>
      </c>
      <c r="G29" s="10">
        <v>9</v>
      </c>
      <c r="H29" s="10">
        <v>6.5</v>
      </c>
      <c r="I29" s="10">
        <v>5</v>
      </c>
      <c r="J29" s="10">
        <v>5</v>
      </c>
      <c r="K29" s="10">
        <v>3.75</v>
      </c>
      <c r="L29" s="10">
        <v>5.25</v>
      </c>
      <c r="M29" s="10">
        <v>1.75</v>
      </c>
      <c r="N29" s="10">
        <v>1.75</v>
      </c>
      <c r="O29" s="10">
        <v>4.75</v>
      </c>
      <c r="P29" s="10">
        <v>5.25</v>
      </c>
      <c r="Q29" s="10">
        <v>2.75</v>
      </c>
      <c r="R29" s="10">
        <v>0.75</v>
      </c>
      <c r="S29" s="10">
        <v>1.25</v>
      </c>
      <c r="T29" s="10">
        <v>9</v>
      </c>
      <c r="U29" s="10">
        <v>5.75</v>
      </c>
      <c r="V29" s="10">
        <v>4</v>
      </c>
      <c r="W29" s="10">
        <v>3.25</v>
      </c>
    </row>
    <row r="30" spans="2:23" s="9" customFormat="1" x14ac:dyDescent="0.2">
      <c r="B30" s="8" t="s">
        <v>86</v>
      </c>
      <c r="C30" s="10"/>
      <c r="D30" s="10">
        <v>8.9700000000000006</v>
      </c>
      <c r="E30" s="10">
        <v>5.52</v>
      </c>
      <c r="F30" s="10">
        <v>10</v>
      </c>
      <c r="G30" s="10">
        <v>9</v>
      </c>
      <c r="H30" s="10">
        <v>6.5</v>
      </c>
      <c r="I30" s="10">
        <v>5</v>
      </c>
      <c r="J30" s="10">
        <v>5</v>
      </c>
      <c r="K30" s="10">
        <v>3.75</v>
      </c>
      <c r="L30" s="10">
        <v>5.25</v>
      </c>
      <c r="M30" s="10">
        <v>1.75</v>
      </c>
      <c r="N30" s="10">
        <v>1.75</v>
      </c>
      <c r="O30" s="10">
        <v>4.75</v>
      </c>
      <c r="P30" s="10">
        <v>5.25</v>
      </c>
      <c r="Q30" s="10">
        <v>2.75</v>
      </c>
      <c r="R30" s="10">
        <v>0.75</v>
      </c>
      <c r="S30" s="10">
        <v>1.25</v>
      </c>
      <c r="T30" s="10">
        <v>9</v>
      </c>
      <c r="U30" s="10">
        <v>5.75</v>
      </c>
      <c r="V30" s="10">
        <v>4</v>
      </c>
      <c r="W30" s="10">
        <v>3.25</v>
      </c>
    </row>
    <row r="31" spans="2:23" s="9" customFormat="1" x14ac:dyDescent="0.2">
      <c r="B31" s="8" t="s">
        <v>87</v>
      </c>
      <c r="C31" s="10"/>
      <c r="D31" s="10">
        <v>8.9700000000000006</v>
      </c>
      <c r="E31" s="10"/>
      <c r="F31" s="10">
        <v>10</v>
      </c>
      <c r="G31" s="10">
        <v>9</v>
      </c>
      <c r="H31" s="10">
        <v>6.5</v>
      </c>
      <c r="I31" s="10">
        <v>5</v>
      </c>
      <c r="J31" s="10">
        <v>5</v>
      </c>
      <c r="K31" s="10">
        <v>3.75</v>
      </c>
      <c r="L31" s="10">
        <v>5.25</v>
      </c>
      <c r="M31" s="10">
        <v>1.75</v>
      </c>
      <c r="N31" s="10">
        <v>1.75</v>
      </c>
      <c r="O31" s="10">
        <v>4.75</v>
      </c>
      <c r="P31" s="10">
        <v>5.25</v>
      </c>
      <c r="Q31" s="10">
        <v>2.75</v>
      </c>
      <c r="R31" s="10">
        <v>0.75</v>
      </c>
      <c r="S31" s="10">
        <v>1.25</v>
      </c>
      <c r="T31" s="10">
        <v>9</v>
      </c>
      <c r="U31" s="10">
        <v>5.75</v>
      </c>
      <c r="V31" s="10">
        <v>4</v>
      </c>
      <c r="W31" s="10">
        <v>3.25</v>
      </c>
    </row>
    <row r="32" spans="2:23" s="9" customFormat="1" x14ac:dyDescent="0.2">
      <c r="B32" s="8" t="s">
        <v>88</v>
      </c>
      <c r="C32" s="10"/>
      <c r="D32" s="10"/>
      <c r="E32" s="10"/>
      <c r="F32" s="10">
        <v>10</v>
      </c>
      <c r="G32" s="10">
        <v>9</v>
      </c>
      <c r="H32" s="10">
        <v>6.5</v>
      </c>
      <c r="I32" s="10">
        <v>5</v>
      </c>
      <c r="J32" s="10">
        <v>5</v>
      </c>
      <c r="K32" s="10">
        <v>3.75</v>
      </c>
      <c r="L32" s="10">
        <v>5.25</v>
      </c>
      <c r="M32" s="10">
        <v>1.75</v>
      </c>
      <c r="N32" s="10">
        <v>1.75</v>
      </c>
      <c r="O32" s="10">
        <v>4.75</v>
      </c>
      <c r="P32" s="10">
        <v>5.25</v>
      </c>
      <c r="Q32" s="10">
        <v>2.75</v>
      </c>
      <c r="R32" s="10">
        <v>0.75</v>
      </c>
      <c r="S32" s="10">
        <v>1.75</v>
      </c>
      <c r="T32" s="10">
        <v>9</v>
      </c>
      <c r="U32" s="10">
        <v>5.75</v>
      </c>
      <c r="V32" s="10">
        <v>4</v>
      </c>
      <c r="W32" s="10">
        <v>3.25</v>
      </c>
    </row>
    <row r="33" spans="2:23" s="9" customFormat="1" x14ac:dyDescent="0.2">
      <c r="B33" s="8" t="s">
        <v>89</v>
      </c>
      <c r="C33" s="10"/>
      <c r="D33" s="10"/>
      <c r="E33" s="10">
        <v>5.52</v>
      </c>
      <c r="F33" s="10">
        <v>10</v>
      </c>
      <c r="G33" s="10">
        <v>9</v>
      </c>
      <c r="H33" s="10">
        <v>6.5</v>
      </c>
      <c r="I33" s="10">
        <v>5</v>
      </c>
      <c r="J33" s="10">
        <v>5</v>
      </c>
      <c r="K33" s="10">
        <v>3.75</v>
      </c>
      <c r="L33" s="10">
        <v>5.25</v>
      </c>
      <c r="M33" s="10">
        <v>1.75</v>
      </c>
      <c r="N33" s="10">
        <v>1.75</v>
      </c>
      <c r="O33" s="10">
        <v>4.75</v>
      </c>
      <c r="P33" s="10">
        <v>5.25</v>
      </c>
      <c r="Q33" s="10">
        <v>2.75</v>
      </c>
      <c r="R33" s="10">
        <v>0.75</v>
      </c>
      <c r="S33" s="10">
        <v>1.75</v>
      </c>
      <c r="T33" s="10">
        <v>9</v>
      </c>
      <c r="U33" s="10">
        <v>5.75</v>
      </c>
      <c r="V33" s="10">
        <v>4</v>
      </c>
      <c r="W33" s="10">
        <v>3.25</v>
      </c>
    </row>
    <row r="34" spans="2:23" s="9" customFormat="1" x14ac:dyDescent="0.2">
      <c r="B34" s="8" t="s">
        <v>90</v>
      </c>
      <c r="C34" s="10"/>
      <c r="D34" s="10">
        <v>8.9700000000000006</v>
      </c>
      <c r="E34" s="10">
        <v>5.52</v>
      </c>
      <c r="F34" s="10">
        <v>10</v>
      </c>
      <c r="G34" s="10">
        <v>9</v>
      </c>
      <c r="H34" s="10">
        <v>6.5</v>
      </c>
      <c r="I34" s="10">
        <v>5</v>
      </c>
      <c r="J34" s="10">
        <v>5</v>
      </c>
      <c r="K34" s="10">
        <v>3.75</v>
      </c>
      <c r="L34" s="10">
        <v>5.25</v>
      </c>
      <c r="M34" s="10">
        <v>1.75</v>
      </c>
      <c r="N34" s="10">
        <v>1.75</v>
      </c>
      <c r="O34" s="10">
        <v>4.75</v>
      </c>
      <c r="P34" s="10">
        <v>5.25</v>
      </c>
      <c r="Q34" s="10">
        <v>2.75</v>
      </c>
      <c r="R34" s="10">
        <v>0.75</v>
      </c>
      <c r="S34" s="10">
        <v>1.75</v>
      </c>
      <c r="T34" s="10">
        <v>9</v>
      </c>
      <c r="U34" s="10">
        <v>5.75</v>
      </c>
      <c r="V34" s="10">
        <v>4</v>
      </c>
      <c r="W34" s="10">
        <v>3.25</v>
      </c>
    </row>
    <row r="35" spans="2:23" s="9" customFormat="1" x14ac:dyDescent="0.2">
      <c r="B35" s="8" t="s">
        <v>91</v>
      </c>
      <c r="C35" s="10"/>
      <c r="D35" s="10">
        <v>5.98</v>
      </c>
      <c r="E35" s="10">
        <v>5.52</v>
      </c>
      <c r="F35" s="10">
        <v>10</v>
      </c>
      <c r="G35" s="10">
        <v>9</v>
      </c>
      <c r="H35" s="10">
        <v>6.5</v>
      </c>
      <c r="I35" s="10">
        <v>5</v>
      </c>
      <c r="J35" s="10">
        <v>5</v>
      </c>
      <c r="K35" s="10">
        <v>3.75</v>
      </c>
      <c r="L35" s="10">
        <v>5.25</v>
      </c>
      <c r="M35" s="10">
        <v>1.75</v>
      </c>
      <c r="N35" s="10">
        <v>1.75</v>
      </c>
      <c r="O35" s="10">
        <v>4.75</v>
      </c>
      <c r="P35" s="10">
        <v>5.25</v>
      </c>
      <c r="Q35" s="10">
        <v>2.25</v>
      </c>
      <c r="R35" s="10">
        <v>0.75</v>
      </c>
      <c r="S35" s="10">
        <v>1.75</v>
      </c>
      <c r="T35" s="10">
        <v>9</v>
      </c>
      <c r="U35" s="10">
        <v>5.75</v>
      </c>
      <c r="V35" s="10">
        <v>4</v>
      </c>
      <c r="W35" s="10">
        <v>3.25</v>
      </c>
    </row>
    <row r="36" spans="2:23" x14ac:dyDescent="0.2">
      <c r="B36" s="21" t="s">
        <v>92</v>
      </c>
      <c r="C36" s="11"/>
      <c r="D36" s="11">
        <v>5.98</v>
      </c>
      <c r="E36" s="11">
        <v>5.99</v>
      </c>
      <c r="F36" s="11">
        <v>10</v>
      </c>
      <c r="G36" s="11">
        <v>9</v>
      </c>
      <c r="H36" s="11">
        <v>6.5</v>
      </c>
      <c r="I36" s="11">
        <v>5</v>
      </c>
      <c r="J36" s="11">
        <v>5</v>
      </c>
      <c r="K36" s="11">
        <v>3.75</v>
      </c>
      <c r="L36" s="11">
        <v>5.25</v>
      </c>
      <c r="M36" s="11">
        <v>1.75</v>
      </c>
      <c r="N36" s="11">
        <v>1.75</v>
      </c>
      <c r="O36" s="11">
        <v>4.75</v>
      </c>
      <c r="P36" s="11">
        <v>5.25</v>
      </c>
      <c r="Q36" s="11">
        <v>2.25</v>
      </c>
      <c r="R36" s="11">
        <v>0.75</v>
      </c>
      <c r="S36" s="11">
        <v>1.75</v>
      </c>
      <c r="T36" s="11">
        <v>9</v>
      </c>
      <c r="U36" s="22">
        <v>5.75</v>
      </c>
      <c r="V36" s="22">
        <v>4</v>
      </c>
      <c r="W36" s="22">
        <v>3.25</v>
      </c>
    </row>
    <row r="37" spans="2:23" s="9" customFormat="1" x14ac:dyDescent="0.2">
      <c r="B37" s="8" t="s">
        <v>93</v>
      </c>
      <c r="C37" s="10"/>
      <c r="D37" s="10">
        <v>5.98</v>
      </c>
      <c r="E37" s="10">
        <v>5.99</v>
      </c>
      <c r="F37" s="10">
        <v>10</v>
      </c>
      <c r="G37" s="10">
        <v>9</v>
      </c>
      <c r="H37" s="10">
        <v>6.5</v>
      </c>
      <c r="I37" s="10">
        <v>5</v>
      </c>
      <c r="J37" s="10">
        <v>5</v>
      </c>
      <c r="K37" s="10">
        <v>3.75</v>
      </c>
      <c r="L37" s="10">
        <v>5.25</v>
      </c>
      <c r="M37" s="10">
        <v>1.75</v>
      </c>
      <c r="N37" s="10">
        <v>1.75</v>
      </c>
      <c r="O37" s="10">
        <v>5</v>
      </c>
      <c r="P37" s="10">
        <v>5.25</v>
      </c>
      <c r="Q37" s="10">
        <v>2.25</v>
      </c>
      <c r="R37" s="10">
        <v>0.75</v>
      </c>
      <c r="S37" s="10">
        <v>1.75</v>
      </c>
      <c r="T37" s="10">
        <v>9</v>
      </c>
      <c r="U37" s="10">
        <v>5.75</v>
      </c>
      <c r="V37" s="10">
        <v>4</v>
      </c>
      <c r="W37" s="10">
        <v>3.25</v>
      </c>
    </row>
    <row r="38" spans="2:23" s="9" customFormat="1" x14ac:dyDescent="0.2">
      <c r="B38" s="8" t="s">
        <v>94</v>
      </c>
      <c r="C38" s="10"/>
      <c r="D38" s="10">
        <v>5.98</v>
      </c>
      <c r="E38" s="10"/>
      <c r="F38" s="10">
        <v>10</v>
      </c>
      <c r="G38" s="10">
        <v>9</v>
      </c>
      <c r="H38" s="10">
        <v>6.5</v>
      </c>
      <c r="I38" s="10">
        <v>5</v>
      </c>
      <c r="J38" s="10">
        <v>5</v>
      </c>
      <c r="K38" s="10">
        <v>3.75</v>
      </c>
      <c r="L38" s="10">
        <v>4.75</v>
      </c>
      <c r="M38" s="10">
        <v>1.75</v>
      </c>
      <c r="N38" s="10">
        <v>1.75</v>
      </c>
      <c r="O38" s="10">
        <v>5</v>
      </c>
      <c r="P38" s="10">
        <v>5.25</v>
      </c>
      <c r="Q38" s="10">
        <v>2.25</v>
      </c>
      <c r="R38" s="10">
        <v>0.75</v>
      </c>
      <c r="S38" s="10">
        <v>1.75</v>
      </c>
      <c r="T38" s="10">
        <v>9</v>
      </c>
      <c r="U38" s="10">
        <v>5.75</v>
      </c>
      <c r="V38" s="10">
        <v>4</v>
      </c>
      <c r="W38" s="10">
        <v>3.25</v>
      </c>
    </row>
    <row r="39" spans="2:23" s="9" customFormat="1" x14ac:dyDescent="0.2">
      <c r="B39" s="8" t="s">
        <v>95</v>
      </c>
      <c r="C39" s="10"/>
      <c r="D39" s="10"/>
      <c r="E39" s="10"/>
      <c r="F39" s="10">
        <v>10</v>
      </c>
      <c r="G39" s="10">
        <v>9</v>
      </c>
      <c r="H39" s="10">
        <v>6.5</v>
      </c>
      <c r="I39" s="10">
        <v>5</v>
      </c>
      <c r="J39" s="10">
        <v>5</v>
      </c>
      <c r="K39" s="10">
        <v>3.75</v>
      </c>
      <c r="L39" s="10">
        <v>4.75</v>
      </c>
      <c r="M39" s="10">
        <v>1.75</v>
      </c>
      <c r="N39" s="10">
        <v>1.75</v>
      </c>
      <c r="O39" s="10">
        <v>5</v>
      </c>
      <c r="P39" s="10">
        <v>5.25</v>
      </c>
      <c r="Q39" s="10">
        <v>2.25</v>
      </c>
      <c r="R39" s="10">
        <v>0.75</v>
      </c>
      <c r="S39" s="10">
        <v>1.75</v>
      </c>
      <c r="T39" s="10">
        <v>9</v>
      </c>
      <c r="U39" s="10">
        <v>5.75</v>
      </c>
      <c r="V39" s="10">
        <v>4</v>
      </c>
      <c r="W39" s="10">
        <v>3.25</v>
      </c>
    </row>
    <row r="40" spans="2:23" s="9" customFormat="1" x14ac:dyDescent="0.2">
      <c r="B40" s="8" t="s">
        <v>96</v>
      </c>
      <c r="C40" s="10"/>
      <c r="D40" s="10"/>
      <c r="E40" s="10">
        <v>5.99</v>
      </c>
      <c r="F40" s="10">
        <v>10</v>
      </c>
      <c r="G40" s="10">
        <v>9</v>
      </c>
      <c r="H40" s="10">
        <v>6.5</v>
      </c>
      <c r="I40" s="10">
        <v>5</v>
      </c>
      <c r="J40" s="10">
        <v>5</v>
      </c>
      <c r="K40" s="10">
        <v>3.75</v>
      </c>
      <c r="L40" s="10">
        <v>4.75</v>
      </c>
      <c r="M40" s="10">
        <v>1.75</v>
      </c>
      <c r="N40" s="10">
        <v>1.75</v>
      </c>
      <c r="O40" s="10">
        <v>5</v>
      </c>
      <c r="P40" s="10">
        <v>5.25</v>
      </c>
      <c r="Q40" s="10">
        <v>2.25</v>
      </c>
      <c r="R40" s="10">
        <v>0.75</v>
      </c>
      <c r="S40" s="10">
        <v>1.75</v>
      </c>
      <c r="T40" s="10">
        <v>9</v>
      </c>
      <c r="U40" s="10">
        <v>5.75</v>
      </c>
      <c r="V40" s="10">
        <v>4</v>
      </c>
      <c r="W40" s="10">
        <v>3.25</v>
      </c>
    </row>
    <row r="41" spans="2:23" s="9" customFormat="1" x14ac:dyDescent="0.2">
      <c r="B41" s="8" t="s">
        <v>97</v>
      </c>
      <c r="C41" s="10"/>
      <c r="D41" s="10">
        <v>5.98</v>
      </c>
      <c r="E41" s="10">
        <v>5.99</v>
      </c>
      <c r="F41" s="10">
        <v>10</v>
      </c>
      <c r="G41" s="10">
        <v>9</v>
      </c>
      <c r="H41" s="10">
        <v>6.5</v>
      </c>
      <c r="I41" s="10">
        <v>5</v>
      </c>
      <c r="J41" s="10">
        <v>5</v>
      </c>
      <c r="K41" s="10">
        <v>3.75</v>
      </c>
      <c r="L41" s="10">
        <v>4.75</v>
      </c>
      <c r="M41" s="10">
        <v>1.75</v>
      </c>
      <c r="N41" s="10">
        <v>1.75</v>
      </c>
      <c r="O41" s="10">
        <v>5</v>
      </c>
      <c r="P41" s="10">
        <v>5.25</v>
      </c>
      <c r="Q41" s="10">
        <v>2.25</v>
      </c>
      <c r="R41" s="10">
        <v>0.75</v>
      </c>
      <c r="S41" s="10">
        <v>1.75</v>
      </c>
      <c r="T41" s="10">
        <v>9</v>
      </c>
      <c r="U41" s="10">
        <v>5.75</v>
      </c>
      <c r="V41" s="10">
        <v>4</v>
      </c>
      <c r="W41" s="10">
        <v>3.25</v>
      </c>
    </row>
    <row r="42" spans="2:23" s="9" customFormat="1" x14ac:dyDescent="0.2">
      <c r="B42" s="8" t="s">
        <v>98</v>
      </c>
      <c r="C42" s="10"/>
      <c r="D42" s="10">
        <v>5.98</v>
      </c>
      <c r="E42" s="10">
        <v>5.99</v>
      </c>
      <c r="F42" s="10">
        <v>10</v>
      </c>
      <c r="G42" s="10">
        <v>9</v>
      </c>
      <c r="H42" s="10">
        <v>6.5</v>
      </c>
      <c r="I42" s="10">
        <v>5</v>
      </c>
      <c r="J42" s="10">
        <v>5</v>
      </c>
      <c r="K42" s="10">
        <v>3.75</v>
      </c>
      <c r="L42" s="10">
        <v>4.75</v>
      </c>
      <c r="M42" s="10">
        <v>1.75</v>
      </c>
      <c r="N42" s="10">
        <v>1.75</v>
      </c>
      <c r="O42" s="10">
        <v>5</v>
      </c>
      <c r="P42" s="10">
        <v>5.25</v>
      </c>
      <c r="Q42" s="10">
        <v>2.25</v>
      </c>
      <c r="R42" s="10">
        <v>0.75</v>
      </c>
      <c r="S42" s="10">
        <v>1.75</v>
      </c>
      <c r="T42" s="10">
        <v>9</v>
      </c>
      <c r="U42" s="10">
        <v>5.75</v>
      </c>
      <c r="V42" s="10">
        <v>4</v>
      </c>
      <c r="W42" s="10">
        <v>3.25</v>
      </c>
    </row>
    <row r="43" spans="2:23" s="9" customFormat="1" x14ac:dyDescent="0.2">
      <c r="B43" s="8" t="s">
        <v>99</v>
      </c>
      <c r="C43" s="10"/>
      <c r="D43" s="10">
        <v>5.98</v>
      </c>
      <c r="E43" s="10">
        <v>5.99</v>
      </c>
      <c r="F43" s="10">
        <v>10</v>
      </c>
      <c r="G43" s="10">
        <v>9</v>
      </c>
      <c r="H43" s="10">
        <v>6.5</v>
      </c>
      <c r="I43" s="10">
        <v>5</v>
      </c>
      <c r="J43" s="10">
        <v>5</v>
      </c>
      <c r="K43" s="10">
        <v>3.75</v>
      </c>
      <c r="L43" s="10">
        <v>4.75</v>
      </c>
      <c r="M43" s="10">
        <v>1.75</v>
      </c>
      <c r="N43" s="10">
        <v>1.75</v>
      </c>
      <c r="O43" s="10">
        <v>5</v>
      </c>
      <c r="P43" s="10">
        <v>5.25</v>
      </c>
      <c r="Q43" s="10">
        <v>2.25</v>
      </c>
      <c r="R43" s="10">
        <v>0.75</v>
      </c>
      <c r="S43" s="10">
        <v>1.75</v>
      </c>
      <c r="T43" s="10">
        <v>9</v>
      </c>
      <c r="U43" s="10">
        <v>5.75</v>
      </c>
      <c r="V43" s="10">
        <v>4</v>
      </c>
      <c r="W43" s="10">
        <v>3.25</v>
      </c>
    </row>
    <row r="44" spans="2:23" s="9" customFormat="1" x14ac:dyDescent="0.2">
      <c r="B44" s="8" t="s">
        <v>100</v>
      </c>
      <c r="C44" s="10"/>
      <c r="D44" s="10">
        <v>5.98</v>
      </c>
      <c r="E44" s="10">
        <v>5.99</v>
      </c>
      <c r="F44" s="10">
        <v>10</v>
      </c>
      <c r="G44" s="10">
        <v>9</v>
      </c>
      <c r="H44" s="10">
        <v>6.5</v>
      </c>
      <c r="I44" s="10">
        <v>5</v>
      </c>
      <c r="J44" s="10">
        <v>5</v>
      </c>
      <c r="K44" s="10">
        <v>3.75</v>
      </c>
      <c r="L44" s="10">
        <v>4.75</v>
      </c>
      <c r="M44" s="10">
        <v>1.75</v>
      </c>
      <c r="N44" s="10">
        <v>1.75</v>
      </c>
      <c r="O44" s="10">
        <v>5</v>
      </c>
      <c r="P44" s="10">
        <v>5.25</v>
      </c>
      <c r="Q44" s="10">
        <v>2.25</v>
      </c>
      <c r="R44" s="10">
        <v>0.75</v>
      </c>
      <c r="S44" s="10">
        <v>1.75</v>
      </c>
      <c r="T44" s="10">
        <v>9</v>
      </c>
      <c r="U44" s="10">
        <v>5.75</v>
      </c>
      <c r="V44" s="10">
        <v>4</v>
      </c>
      <c r="W44" s="10">
        <v>3.25</v>
      </c>
    </row>
    <row r="45" spans="2:23" s="9" customFormat="1" x14ac:dyDescent="0.2">
      <c r="B45" s="8" t="s">
        <v>101</v>
      </c>
      <c r="C45" s="10"/>
      <c r="D45" s="10">
        <v>5.98</v>
      </c>
      <c r="E45" s="10"/>
      <c r="F45" s="10">
        <v>10</v>
      </c>
      <c r="G45" s="10">
        <v>9</v>
      </c>
      <c r="H45" s="10">
        <v>6.5</v>
      </c>
      <c r="I45" s="10">
        <v>5</v>
      </c>
      <c r="J45" s="10">
        <v>5</v>
      </c>
      <c r="K45" s="10">
        <v>3.75</v>
      </c>
      <c r="L45" s="10">
        <v>4.75</v>
      </c>
      <c r="M45" s="10">
        <v>1.75</v>
      </c>
      <c r="N45" s="10">
        <v>1.75</v>
      </c>
      <c r="O45" s="10">
        <v>5</v>
      </c>
      <c r="P45" s="10">
        <v>5.25</v>
      </c>
      <c r="Q45" s="10">
        <v>2.25</v>
      </c>
      <c r="R45" s="10">
        <v>0.75</v>
      </c>
      <c r="S45" s="10">
        <v>1.75</v>
      </c>
      <c r="T45" s="10">
        <v>9</v>
      </c>
      <c r="U45" s="10">
        <v>5.75</v>
      </c>
      <c r="V45" s="10">
        <v>4</v>
      </c>
      <c r="W45" s="10">
        <v>3.25</v>
      </c>
    </row>
    <row r="46" spans="2:23" s="9" customFormat="1" x14ac:dyDescent="0.2">
      <c r="B46" s="8" t="s">
        <v>102</v>
      </c>
      <c r="C46" s="10"/>
      <c r="D46" s="10"/>
      <c r="E46" s="10"/>
      <c r="F46" s="10">
        <v>10</v>
      </c>
      <c r="G46" s="10">
        <v>9</v>
      </c>
      <c r="H46" s="10">
        <v>6.5</v>
      </c>
      <c r="I46" s="10">
        <v>5</v>
      </c>
      <c r="J46" s="10">
        <v>5</v>
      </c>
      <c r="K46" s="10">
        <v>3.75</v>
      </c>
      <c r="L46" s="10">
        <v>4.75</v>
      </c>
      <c r="M46" s="10">
        <v>1.75</v>
      </c>
      <c r="N46" s="10">
        <v>1.75</v>
      </c>
      <c r="O46" s="10">
        <v>5</v>
      </c>
      <c r="P46" s="10">
        <v>5.25</v>
      </c>
      <c r="Q46" s="10">
        <v>2.25</v>
      </c>
      <c r="R46" s="10">
        <v>0.75</v>
      </c>
      <c r="S46" s="10">
        <v>1.75</v>
      </c>
      <c r="T46" s="10">
        <v>9</v>
      </c>
      <c r="U46" s="10">
        <v>5.75</v>
      </c>
      <c r="V46" s="10">
        <v>4</v>
      </c>
      <c r="W46" s="10">
        <v>3.25</v>
      </c>
    </row>
    <row r="47" spans="2:23" s="9" customFormat="1" x14ac:dyDescent="0.2">
      <c r="B47" s="8" t="s">
        <v>103</v>
      </c>
      <c r="C47" s="10"/>
      <c r="D47" s="10"/>
      <c r="E47" s="10">
        <v>5.99</v>
      </c>
      <c r="F47" s="10">
        <v>10</v>
      </c>
      <c r="G47" s="10">
        <v>9</v>
      </c>
      <c r="H47" s="10">
        <v>6.5</v>
      </c>
      <c r="I47" s="10">
        <v>5</v>
      </c>
      <c r="J47" s="10">
        <v>5</v>
      </c>
      <c r="K47" s="10">
        <v>3.75</v>
      </c>
      <c r="L47" s="10">
        <v>4.75</v>
      </c>
      <c r="M47" s="10">
        <v>1.75</v>
      </c>
      <c r="N47" s="10">
        <v>1.75</v>
      </c>
      <c r="O47" s="10">
        <v>5</v>
      </c>
      <c r="P47" s="10">
        <v>5.25</v>
      </c>
      <c r="Q47" s="10">
        <v>2.25</v>
      </c>
      <c r="R47" s="10">
        <v>0.75</v>
      </c>
      <c r="S47" s="10">
        <v>1.75</v>
      </c>
      <c r="T47" s="10">
        <v>9</v>
      </c>
      <c r="U47" s="10">
        <v>5.75</v>
      </c>
      <c r="V47" s="10">
        <v>4</v>
      </c>
      <c r="W47" s="10">
        <v>3.25</v>
      </c>
    </row>
    <row r="48" spans="2:23" s="9" customFormat="1" x14ac:dyDescent="0.2">
      <c r="B48" s="8" t="s">
        <v>104</v>
      </c>
      <c r="C48" s="10"/>
      <c r="D48" s="10">
        <v>5.98</v>
      </c>
      <c r="E48" s="10">
        <v>5.99</v>
      </c>
      <c r="F48" s="10">
        <v>10</v>
      </c>
      <c r="G48" s="10">
        <v>9</v>
      </c>
      <c r="H48" s="10">
        <v>6.5</v>
      </c>
      <c r="I48" s="10">
        <v>5</v>
      </c>
      <c r="J48" s="10">
        <v>5</v>
      </c>
      <c r="K48" s="10">
        <v>3.75</v>
      </c>
      <c r="L48" s="10">
        <v>4.75</v>
      </c>
      <c r="M48" s="10">
        <v>1.75</v>
      </c>
      <c r="N48" s="10">
        <v>1.75</v>
      </c>
      <c r="O48" s="10">
        <v>5</v>
      </c>
      <c r="P48" s="10">
        <v>5.25</v>
      </c>
      <c r="Q48" s="10">
        <v>2.25</v>
      </c>
      <c r="R48" s="10">
        <v>0.75</v>
      </c>
      <c r="S48" s="10">
        <v>1.75</v>
      </c>
      <c r="T48" s="10">
        <v>9</v>
      </c>
      <c r="U48" s="10">
        <v>5.75</v>
      </c>
      <c r="V48" s="10">
        <v>4</v>
      </c>
      <c r="W48" s="10">
        <v>3.25</v>
      </c>
    </row>
    <row r="49" spans="2:23" s="9" customFormat="1" x14ac:dyDescent="0.2">
      <c r="B49" s="8" t="s">
        <v>105</v>
      </c>
      <c r="C49" s="10"/>
      <c r="D49" s="10">
        <v>5.98</v>
      </c>
      <c r="E49" s="10">
        <v>5.99</v>
      </c>
      <c r="F49" s="10">
        <v>10</v>
      </c>
      <c r="G49" s="10">
        <v>9</v>
      </c>
      <c r="H49" s="10">
        <v>6.5</v>
      </c>
      <c r="I49" s="10">
        <v>5</v>
      </c>
      <c r="J49" s="10">
        <v>5</v>
      </c>
      <c r="K49" s="10">
        <v>3.75</v>
      </c>
      <c r="L49" s="10">
        <v>4.75</v>
      </c>
      <c r="M49" s="10">
        <v>1.75</v>
      </c>
      <c r="N49" s="10">
        <v>1.75</v>
      </c>
      <c r="O49" s="10">
        <v>5</v>
      </c>
      <c r="P49" s="10">
        <v>5.25</v>
      </c>
      <c r="Q49" s="10">
        <v>2.25</v>
      </c>
      <c r="R49" s="10">
        <v>0.75</v>
      </c>
      <c r="S49" s="10">
        <v>1.75</v>
      </c>
      <c r="T49" s="10">
        <v>9</v>
      </c>
      <c r="U49" s="10">
        <v>5.75</v>
      </c>
      <c r="V49" s="10">
        <v>4</v>
      </c>
      <c r="W49" s="10">
        <v>3.25</v>
      </c>
    </row>
    <row r="50" spans="2:23" s="9" customFormat="1" x14ac:dyDescent="0.2">
      <c r="B50" s="8" t="s">
        <v>106</v>
      </c>
      <c r="C50" s="10"/>
      <c r="D50" s="10">
        <v>5.98</v>
      </c>
      <c r="E50" s="10">
        <v>5.99</v>
      </c>
      <c r="F50" s="10">
        <v>10</v>
      </c>
      <c r="G50" s="10">
        <v>9</v>
      </c>
      <c r="H50" s="10">
        <v>6.5</v>
      </c>
      <c r="I50" s="10">
        <v>5</v>
      </c>
      <c r="J50" s="10">
        <v>5</v>
      </c>
      <c r="K50" s="10">
        <v>3.75</v>
      </c>
      <c r="L50" s="10">
        <v>4.75</v>
      </c>
      <c r="M50" s="10">
        <v>1.75</v>
      </c>
      <c r="N50" s="10">
        <v>1.75</v>
      </c>
      <c r="O50" s="10">
        <v>5</v>
      </c>
      <c r="P50" s="10">
        <v>5.25</v>
      </c>
      <c r="Q50" s="10">
        <v>2.25</v>
      </c>
      <c r="R50" s="10">
        <v>0.75</v>
      </c>
      <c r="S50" s="10">
        <v>1.75</v>
      </c>
      <c r="T50" s="10">
        <v>9</v>
      </c>
      <c r="U50" s="10">
        <v>5.75</v>
      </c>
      <c r="V50" s="10">
        <v>4</v>
      </c>
      <c r="W50" s="10">
        <v>3.25</v>
      </c>
    </row>
    <row r="51" spans="2:23" s="9" customFormat="1" x14ac:dyDescent="0.2">
      <c r="B51" s="8" t="s">
        <v>107</v>
      </c>
      <c r="C51" s="10"/>
      <c r="D51" s="10">
        <v>5.98</v>
      </c>
      <c r="E51" s="10">
        <v>5.99</v>
      </c>
      <c r="F51" s="10">
        <v>10</v>
      </c>
      <c r="G51" s="10">
        <v>9</v>
      </c>
      <c r="H51" s="10">
        <v>6.5</v>
      </c>
      <c r="I51" s="10">
        <v>5</v>
      </c>
      <c r="J51" s="10">
        <v>5</v>
      </c>
      <c r="K51" s="10">
        <v>3.75</v>
      </c>
      <c r="L51" s="10">
        <v>4.75</v>
      </c>
      <c r="M51" s="10">
        <v>1.75</v>
      </c>
      <c r="N51" s="10">
        <v>1.75</v>
      </c>
      <c r="O51" s="10">
        <v>5</v>
      </c>
      <c r="P51" s="10">
        <v>5.25</v>
      </c>
      <c r="Q51" s="10">
        <v>2.25</v>
      </c>
      <c r="R51" s="10">
        <v>0.75</v>
      </c>
      <c r="S51" s="10">
        <v>1.75</v>
      </c>
      <c r="T51" s="10">
        <v>9</v>
      </c>
      <c r="U51" s="10">
        <v>5.75</v>
      </c>
      <c r="V51" s="10">
        <v>4</v>
      </c>
      <c r="W51" s="10">
        <v>3.25</v>
      </c>
    </row>
    <row r="52" spans="2:23" s="9" customFormat="1" x14ac:dyDescent="0.2">
      <c r="B52" s="8" t="s">
        <v>108</v>
      </c>
      <c r="C52" s="10"/>
      <c r="D52" s="10">
        <v>5.98</v>
      </c>
      <c r="E52" s="10"/>
      <c r="F52" s="10">
        <v>10</v>
      </c>
      <c r="G52" s="10">
        <v>9</v>
      </c>
      <c r="H52" s="10">
        <v>6.5</v>
      </c>
      <c r="I52" s="10">
        <v>5</v>
      </c>
      <c r="J52" s="10">
        <v>5</v>
      </c>
      <c r="K52" s="10">
        <v>3.75</v>
      </c>
      <c r="L52" s="10">
        <v>4.75</v>
      </c>
      <c r="M52" s="10">
        <v>1.75</v>
      </c>
      <c r="N52" s="10">
        <v>1.75</v>
      </c>
      <c r="O52" s="10">
        <v>5</v>
      </c>
      <c r="P52" s="10">
        <v>5.25</v>
      </c>
      <c r="Q52" s="10">
        <v>2.25</v>
      </c>
      <c r="R52" s="10">
        <v>0.75</v>
      </c>
      <c r="S52" s="10">
        <v>1.75</v>
      </c>
      <c r="T52" s="10">
        <v>9</v>
      </c>
      <c r="U52" s="10">
        <v>5.75</v>
      </c>
      <c r="V52" s="10">
        <v>4</v>
      </c>
      <c r="W52" s="10">
        <v>3.25</v>
      </c>
    </row>
    <row r="53" spans="2:23" s="9" customFormat="1" x14ac:dyDescent="0.2">
      <c r="B53" s="8" t="s">
        <v>109</v>
      </c>
      <c r="C53" s="10"/>
      <c r="D53" s="10"/>
      <c r="E53" s="10"/>
      <c r="F53" s="10">
        <v>10</v>
      </c>
      <c r="G53" s="10">
        <v>9</v>
      </c>
      <c r="H53" s="10">
        <v>6.5</v>
      </c>
      <c r="I53" s="10">
        <v>5</v>
      </c>
      <c r="J53" s="10">
        <v>5</v>
      </c>
      <c r="K53" s="10">
        <v>3.75</v>
      </c>
      <c r="L53" s="10">
        <v>4.75</v>
      </c>
      <c r="M53" s="10">
        <v>1.75</v>
      </c>
      <c r="N53" s="10">
        <v>1.75</v>
      </c>
      <c r="O53" s="10">
        <v>5</v>
      </c>
      <c r="P53" s="10">
        <v>5.25</v>
      </c>
      <c r="Q53" s="10">
        <v>2.25</v>
      </c>
      <c r="R53" s="10">
        <v>0.75</v>
      </c>
      <c r="S53" s="10">
        <v>1.75</v>
      </c>
      <c r="T53" s="10">
        <v>9</v>
      </c>
      <c r="U53" s="10">
        <v>5.75</v>
      </c>
      <c r="V53" s="10">
        <v>4</v>
      </c>
      <c r="W53" s="10">
        <v>3.25</v>
      </c>
    </row>
    <row r="54" spans="2:23" s="9" customFormat="1" x14ac:dyDescent="0.2">
      <c r="B54" s="8" t="s">
        <v>110</v>
      </c>
      <c r="C54" s="10"/>
      <c r="D54" s="10"/>
      <c r="E54" s="10">
        <v>5.99</v>
      </c>
      <c r="F54" s="10">
        <v>10</v>
      </c>
      <c r="G54" s="10">
        <v>9</v>
      </c>
      <c r="H54" s="10">
        <v>6.5</v>
      </c>
      <c r="I54" s="10">
        <v>5</v>
      </c>
      <c r="J54" s="10">
        <v>5</v>
      </c>
      <c r="K54" s="10">
        <v>3.75</v>
      </c>
      <c r="L54" s="10">
        <v>4.75</v>
      </c>
      <c r="M54" s="10">
        <v>1.75</v>
      </c>
      <c r="N54" s="10">
        <v>1.75</v>
      </c>
      <c r="O54" s="10">
        <v>5</v>
      </c>
      <c r="P54" s="10">
        <v>5.25</v>
      </c>
      <c r="Q54" s="10">
        <v>2.25</v>
      </c>
      <c r="R54" s="10">
        <v>0.75</v>
      </c>
      <c r="S54" s="10">
        <v>1.75</v>
      </c>
      <c r="T54" s="10">
        <v>9</v>
      </c>
      <c r="U54" s="10">
        <v>5.75</v>
      </c>
      <c r="V54" s="10">
        <v>4</v>
      </c>
      <c r="W54" s="10"/>
    </row>
    <row r="55" spans="2:23" s="9" customFormat="1" x14ac:dyDescent="0.2">
      <c r="B55" s="8" t="s">
        <v>111</v>
      </c>
      <c r="C55" s="10"/>
      <c r="D55" s="10">
        <v>5.98</v>
      </c>
      <c r="E55" s="10">
        <v>5.99</v>
      </c>
      <c r="F55" s="10">
        <v>10</v>
      </c>
      <c r="G55" s="10">
        <v>9</v>
      </c>
      <c r="H55" s="10">
        <v>6.5</v>
      </c>
      <c r="I55" s="10">
        <v>5</v>
      </c>
      <c r="J55" s="10">
        <v>5</v>
      </c>
      <c r="K55" s="10">
        <v>3.75</v>
      </c>
      <c r="L55" s="10">
        <v>4.75</v>
      </c>
      <c r="M55" s="10">
        <v>1.75</v>
      </c>
      <c r="N55" s="10">
        <v>1.75</v>
      </c>
      <c r="O55" s="10">
        <v>5</v>
      </c>
      <c r="P55" s="10">
        <v>5.25</v>
      </c>
      <c r="Q55" s="10">
        <v>2.25</v>
      </c>
      <c r="R55" s="10">
        <v>0.75</v>
      </c>
      <c r="S55" s="10">
        <v>1.75</v>
      </c>
      <c r="T55" s="10">
        <v>9</v>
      </c>
      <c r="U55" s="10">
        <v>5.75</v>
      </c>
      <c r="V55" s="10">
        <v>4</v>
      </c>
      <c r="W55" s="10"/>
    </row>
    <row r="56" spans="2:23" s="9" customFormat="1" x14ac:dyDescent="0.2">
      <c r="B56" s="8" t="s">
        <v>112</v>
      </c>
      <c r="C56" s="10"/>
      <c r="D56" s="10">
        <v>5.98</v>
      </c>
      <c r="E56" s="10">
        <v>5.99</v>
      </c>
      <c r="F56" s="10">
        <v>10</v>
      </c>
      <c r="G56" s="10">
        <v>9</v>
      </c>
      <c r="H56" s="10">
        <v>6.5</v>
      </c>
      <c r="I56" s="10">
        <v>5</v>
      </c>
      <c r="J56" s="10">
        <v>5</v>
      </c>
      <c r="K56" s="10">
        <v>3.75</v>
      </c>
      <c r="L56" s="10">
        <v>4.75</v>
      </c>
      <c r="M56" s="10">
        <v>1.75</v>
      </c>
      <c r="N56" s="10">
        <v>1.75</v>
      </c>
      <c r="O56" s="10">
        <v>5</v>
      </c>
      <c r="P56" s="10">
        <v>5.25</v>
      </c>
      <c r="Q56" s="10">
        <v>2.25</v>
      </c>
      <c r="R56" s="10">
        <v>0.75</v>
      </c>
      <c r="S56" s="10">
        <v>1.75</v>
      </c>
      <c r="T56" s="10">
        <v>9</v>
      </c>
      <c r="U56" s="10">
        <v>5.75</v>
      </c>
      <c r="V56" s="10">
        <v>4</v>
      </c>
      <c r="W56" s="10"/>
    </row>
    <row r="57" spans="2:23" s="9" customFormat="1" x14ac:dyDescent="0.2">
      <c r="B57" s="8" t="s">
        <v>113</v>
      </c>
      <c r="C57" s="10"/>
      <c r="D57" s="10">
        <v>5.98</v>
      </c>
      <c r="E57" s="10">
        <v>5.99</v>
      </c>
      <c r="F57" s="10">
        <v>10</v>
      </c>
      <c r="G57" s="10">
        <v>9</v>
      </c>
      <c r="H57" s="10">
        <v>6.5</v>
      </c>
      <c r="I57" s="10">
        <v>5</v>
      </c>
      <c r="J57" s="10">
        <v>5</v>
      </c>
      <c r="K57" s="10">
        <v>3.75</v>
      </c>
      <c r="L57" s="10">
        <v>4.75</v>
      </c>
      <c r="M57" s="10">
        <v>1.75</v>
      </c>
      <c r="N57" s="10">
        <v>1.75</v>
      </c>
      <c r="O57" s="10">
        <v>5</v>
      </c>
      <c r="P57" s="10">
        <v>5.25</v>
      </c>
      <c r="Q57" s="10">
        <v>2.25</v>
      </c>
      <c r="R57" s="10">
        <v>0.75</v>
      </c>
      <c r="S57" s="10">
        <v>1.75</v>
      </c>
      <c r="T57" s="10">
        <v>9</v>
      </c>
      <c r="U57" s="10">
        <v>5.75</v>
      </c>
      <c r="V57" s="10">
        <v>4</v>
      </c>
      <c r="W57" s="10"/>
    </row>
    <row r="58" spans="2:23" s="9" customFormat="1" x14ac:dyDescent="0.2">
      <c r="B58" s="8" t="s">
        <v>114</v>
      </c>
      <c r="C58" s="10"/>
      <c r="D58" s="10">
        <v>5.98</v>
      </c>
      <c r="E58" s="10">
        <v>5.99</v>
      </c>
      <c r="F58" s="10">
        <v>10</v>
      </c>
      <c r="G58" s="10">
        <v>9</v>
      </c>
      <c r="H58" s="10">
        <v>6.5</v>
      </c>
      <c r="I58" s="10">
        <v>5</v>
      </c>
      <c r="J58" s="10">
        <v>5</v>
      </c>
      <c r="K58" s="10">
        <v>3.75</v>
      </c>
      <c r="L58" s="10">
        <v>4.75</v>
      </c>
      <c r="M58" s="10">
        <v>1.75</v>
      </c>
      <c r="N58" s="10">
        <v>1.75</v>
      </c>
      <c r="O58" s="10">
        <v>5</v>
      </c>
      <c r="P58" s="10">
        <v>5.25</v>
      </c>
      <c r="Q58" s="10">
        <v>2.25</v>
      </c>
      <c r="R58" s="10">
        <v>0.75</v>
      </c>
      <c r="S58" s="10">
        <v>1.75</v>
      </c>
      <c r="T58" s="10">
        <v>9</v>
      </c>
      <c r="U58" s="10">
        <v>5.75</v>
      </c>
      <c r="V58" s="10">
        <v>4</v>
      </c>
      <c r="W58" s="10"/>
    </row>
    <row r="59" spans="2:23" s="9" customFormat="1" x14ac:dyDescent="0.2">
      <c r="B59" s="8" t="s">
        <v>115</v>
      </c>
      <c r="C59" s="10"/>
      <c r="D59" s="10">
        <v>5.98</v>
      </c>
      <c r="E59" s="10"/>
      <c r="F59" s="10">
        <v>10</v>
      </c>
      <c r="G59" s="10">
        <v>9</v>
      </c>
      <c r="H59" s="10">
        <v>6.5</v>
      </c>
      <c r="I59" s="10">
        <v>5</v>
      </c>
      <c r="J59" s="10">
        <v>5</v>
      </c>
      <c r="K59" s="10">
        <v>3.75</v>
      </c>
      <c r="L59" s="10">
        <v>4.75</v>
      </c>
      <c r="M59" s="10">
        <v>1.75</v>
      </c>
      <c r="N59" s="10">
        <v>1.75</v>
      </c>
      <c r="O59" s="10">
        <v>5</v>
      </c>
      <c r="P59" s="10">
        <v>5.25</v>
      </c>
      <c r="Q59" s="10">
        <v>2.25</v>
      </c>
      <c r="R59" s="10">
        <v>0.75</v>
      </c>
      <c r="S59" s="10">
        <v>1.75</v>
      </c>
      <c r="T59" s="10">
        <v>9</v>
      </c>
      <c r="U59" s="10">
        <v>5.75</v>
      </c>
      <c r="V59" s="10">
        <v>4</v>
      </c>
      <c r="W59" s="10"/>
    </row>
    <row r="60" spans="2:23" s="9" customFormat="1" x14ac:dyDescent="0.2">
      <c r="B60" s="8" t="s">
        <v>116</v>
      </c>
      <c r="C60" s="10"/>
      <c r="D60" s="10"/>
      <c r="E60" s="10"/>
      <c r="F60" s="10">
        <v>10</v>
      </c>
      <c r="G60" s="10">
        <v>9</v>
      </c>
      <c r="H60" s="10">
        <v>6.5</v>
      </c>
      <c r="I60" s="10">
        <v>5</v>
      </c>
      <c r="J60" s="10">
        <v>5</v>
      </c>
      <c r="K60" s="10">
        <v>3.75</v>
      </c>
      <c r="L60" s="10">
        <v>4.75</v>
      </c>
      <c r="M60" s="10">
        <v>1.75</v>
      </c>
      <c r="N60" s="10">
        <v>1.75</v>
      </c>
      <c r="O60" s="10">
        <v>5</v>
      </c>
      <c r="P60" s="10">
        <v>5.25</v>
      </c>
      <c r="Q60" s="10">
        <v>2.25</v>
      </c>
      <c r="R60" s="10">
        <v>0.75</v>
      </c>
      <c r="S60" s="10">
        <v>1.75</v>
      </c>
      <c r="T60" s="10">
        <v>9</v>
      </c>
      <c r="U60" s="10">
        <v>5.75</v>
      </c>
      <c r="V60" s="10">
        <v>4</v>
      </c>
      <c r="W60" s="10"/>
    </row>
    <row r="61" spans="2:23" s="9" customFormat="1" x14ac:dyDescent="0.2">
      <c r="B61" s="8" t="s">
        <v>117</v>
      </c>
      <c r="C61" s="10"/>
      <c r="D61" s="10"/>
      <c r="E61" s="10">
        <v>5.99</v>
      </c>
      <c r="F61" s="10">
        <v>10</v>
      </c>
      <c r="G61" s="10">
        <v>9</v>
      </c>
      <c r="H61" s="10">
        <v>6.5</v>
      </c>
      <c r="I61" s="10">
        <v>5</v>
      </c>
      <c r="J61" s="10">
        <v>5</v>
      </c>
      <c r="K61" s="10">
        <v>3.75</v>
      </c>
      <c r="L61" s="10">
        <v>4.75</v>
      </c>
      <c r="M61" s="10">
        <v>1.75</v>
      </c>
      <c r="N61" s="10">
        <v>1.75</v>
      </c>
      <c r="O61" s="10">
        <v>5</v>
      </c>
      <c r="P61" s="10">
        <v>5.25</v>
      </c>
      <c r="Q61" s="10">
        <v>2.25</v>
      </c>
      <c r="R61" s="10">
        <v>0.75</v>
      </c>
      <c r="S61" s="10">
        <v>1.75</v>
      </c>
      <c r="T61" s="10">
        <v>9</v>
      </c>
      <c r="U61" s="10">
        <v>5.75</v>
      </c>
      <c r="V61" s="10">
        <v>4</v>
      </c>
      <c r="W61" s="10"/>
    </row>
    <row r="62" spans="2:23" s="9" customFormat="1" x14ac:dyDescent="0.2">
      <c r="B62" s="8" t="s">
        <v>118</v>
      </c>
      <c r="C62" s="10"/>
      <c r="D62" s="10">
        <v>5.98</v>
      </c>
      <c r="E62" s="10">
        <v>5.99</v>
      </c>
      <c r="F62" s="10">
        <v>10</v>
      </c>
      <c r="G62" s="10">
        <v>9</v>
      </c>
      <c r="H62" s="10">
        <v>6.5</v>
      </c>
      <c r="I62" s="10">
        <v>5</v>
      </c>
      <c r="J62" s="10">
        <v>5</v>
      </c>
      <c r="K62" s="10">
        <v>3.75</v>
      </c>
      <c r="L62" s="10">
        <v>4.75</v>
      </c>
      <c r="M62" s="10">
        <v>1.75</v>
      </c>
      <c r="N62" s="10">
        <v>1.75</v>
      </c>
      <c r="O62" s="10">
        <v>5</v>
      </c>
      <c r="P62" s="10">
        <v>5.25</v>
      </c>
      <c r="Q62" s="10">
        <v>2.25</v>
      </c>
      <c r="R62" s="10">
        <v>0.75</v>
      </c>
      <c r="S62" s="10">
        <v>1.75</v>
      </c>
      <c r="T62" s="10">
        <v>9</v>
      </c>
      <c r="U62" s="10">
        <v>5.75</v>
      </c>
      <c r="V62" s="10">
        <v>4</v>
      </c>
      <c r="W62" s="10"/>
    </row>
    <row r="63" spans="2:23" s="9" customFormat="1" x14ac:dyDescent="0.2">
      <c r="B63" s="8" t="s">
        <v>119</v>
      </c>
      <c r="C63" s="10"/>
      <c r="D63" s="10">
        <v>5.98</v>
      </c>
      <c r="E63" s="10">
        <v>5.99</v>
      </c>
      <c r="F63" s="10">
        <v>10</v>
      </c>
      <c r="G63" s="10">
        <v>9</v>
      </c>
      <c r="H63" s="10">
        <v>6.5</v>
      </c>
      <c r="I63" s="10">
        <v>5</v>
      </c>
      <c r="J63" s="10">
        <v>5</v>
      </c>
      <c r="K63" s="10">
        <v>3.75</v>
      </c>
      <c r="L63" s="10">
        <v>4.75</v>
      </c>
      <c r="M63" s="10">
        <v>1.75</v>
      </c>
      <c r="N63" s="10">
        <v>1.75</v>
      </c>
      <c r="O63" s="10">
        <v>5</v>
      </c>
      <c r="P63" s="10">
        <v>5.25</v>
      </c>
      <c r="Q63" s="10">
        <v>2.25</v>
      </c>
      <c r="R63" s="10">
        <v>0.75</v>
      </c>
      <c r="S63" s="10">
        <v>1.75</v>
      </c>
      <c r="T63" s="10">
        <v>9</v>
      </c>
      <c r="U63" s="10">
        <v>5.75</v>
      </c>
      <c r="V63" s="10">
        <v>4</v>
      </c>
      <c r="W63" s="10"/>
    </row>
    <row r="64" spans="2:23" s="9" customFormat="1" x14ac:dyDescent="0.2">
      <c r="B64" s="8" t="s">
        <v>120</v>
      </c>
      <c r="C64" s="10"/>
      <c r="D64" s="10">
        <v>5.98</v>
      </c>
      <c r="E64" s="10">
        <v>5.99</v>
      </c>
      <c r="F64" s="10">
        <v>10</v>
      </c>
      <c r="G64" s="10">
        <v>9</v>
      </c>
      <c r="H64" s="10">
        <v>6.5</v>
      </c>
      <c r="I64" s="10">
        <v>5</v>
      </c>
      <c r="J64" s="10">
        <v>5</v>
      </c>
      <c r="K64" s="10">
        <v>3.75</v>
      </c>
      <c r="L64" s="10">
        <v>4.75</v>
      </c>
      <c r="M64" s="10">
        <v>1.75</v>
      </c>
      <c r="N64" s="10">
        <v>1.75</v>
      </c>
      <c r="O64" s="10">
        <v>5</v>
      </c>
      <c r="P64" s="10">
        <v>5.25</v>
      </c>
      <c r="Q64" s="10">
        <v>2.25</v>
      </c>
      <c r="R64" s="10">
        <v>0.75</v>
      </c>
      <c r="S64" s="10">
        <v>1.75</v>
      </c>
      <c r="T64" s="10">
        <v>9</v>
      </c>
      <c r="U64" s="10">
        <v>5.75</v>
      </c>
      <c r="V64" s="10">
        <v>4</v>
      </c>
      <c r="W64" s="10"/>
    </row>
    <row r="65" spans="2:23" x14ac:dyDescent="0.2">
      <c r="B65" s="21" t="s">
        <v>121</v>
      </c>
      <c r="C65" s="12"/>
      <c r="D65" s="12"/>
      <c r="E65" s="12">
        <v>5.99</v>
      </c>
      <c r="F65" s="12"/>
      <c r="G65" s="12"/>
      <c r="H65" s="12"/>
      <c r="I65" s="12">
        <v>5</v>
      </c>
      <c r="J65" s="12"/>
      <c r="K65" s="12"/>
      <c r="L65" s="12"/>
      <c r="M65" s="12">
        <v>1.75</v>
      </c>
      <c r="N65" s="12"/>
      <c r="O65" s="12"/>
      <c r="P65" s="12"/>
      <c r="Q65" s="12">
        <v>2.25</v>
      </c>
      <c r="R65" s="12"/>
      <c r="S65" s="12"/>
      <c r="T65" s="12"/>
      <c r="U65" s="22">
        <v>5.75</v>
      </c>
      <c r="V65" s="22"/>
      <c r="W65" s="23"/>
    </row>
    <row r="66" spans="2:23" s="9" customFormat="1" x14ac:dyDescent="0.2">
      <c r="B66" s="8" t="s">
        <v>122</v>
      </c>
      <c r="C66" s="10"/>
      <c r="D66" s="10">
        <v>5.98</v>
      </c>
      <c r="E66" s="10"/>
      <c r="F66" s="10">
        <v>10</v>
      </c>
      <c r="G66" s="10">
        <v>9</v>
      </c>
      <c r="H66" s="10">
        <v>6.5</v>
      </c>
      <c r="I66" s="10">
        <v>5</v>
      </c>
      <c r="J66" s="10">
        <v>5</v>
      </c>
      <c r="K66" s="10">
        <v>3.75</v>
      </c>
      <c r="L66" s="10">
        <v>4.75</v>
      </c>
      <c r="M66" s="10">
        <v>1.75</v>
      </c>
      <c r="N66" s="10">
        <v>1.75</v>
      </c>
      <c r="O66" s="10">
        <v>5</v>
      </c>
      <c r="P66" s="10">
        <v>5.25</v>
      </c>
      <c r="Q66" s="10">
        <v>2.25</v>
      </c>
      <c r="R66" s="10">
        <v>0.75</v>
      </c>
      <c r="S66" s="10">
        <v>1.75</v>
      </c>
      <c r="T66" s="10">
        <v>9</v>
      </c>
      <c r="U66" s="10">
        <v>5.75</v>
      </c>
      <c r="V66" s="10">
        <v>4</v>
      </c>
      <c r="W66" s="10"/>
    </row>
    <row r="67" spans="2:23" s="9" customFormat="1" x14ac:dyDescent="0.2">
      <c r="B67" s="8" t="s">
        <v>123</v>
      </c>
      <c r="C67" s="10"/>
      <c r="D67" s="10">
        <v>5.98</v>
      </c>
      <c r="E67" s="10"/>
      <c r="F67" s="10">
        <v>10</v>
      </c>
      <c r="G67" s="10">
        <v>9</v>
      </c>
      <c r="H67" s="10">
        <v>6.5</v>
      </c>
      <c r="I67" s="10">
        <v>5</v>
      </c>
      <c r="J67" s="10">
        <v>5</v>
      </c>
      <c r="K67" s="10">
        <v>3.75</v>
      </c>
      <c r="L67" s="10">
        <v>4.75</v>
      </c>
      <c r="M67" s="10">
        <v>1.75</v>
      </c>
      <c r="N67" s="10">
        <v>1.75</v>
      </c>
      <c r="O67" s="10">
        <v>5</v>
      </c>
      <c r="P67" s="10">
        <v>5.25</v>
      </c>
      <c r="Q67" s="10">
        <v>2.25</v>
      </c>
      <c r="R67" s="10">
        <v>0.75</v>
      </c>
      <c r="S67" s="10">
        <v>1.75</v>
      </c>
      <c r="T67" s="10">
        <v>9</v>
      </c>
      <c r="U67" s="10">
        <v>5.75</v>
      </c>
      <c r="V67" s="10">
        <v>4</v>
      </c>
      <c r="W67" s="10"/>
    </row>
    <row r="68" spans="2:23" s="9" customFormat="1" x14ac:dyDescent="0.2">
      <c r="B68" s="8" t="s">
        <v>124</v>
      </c>
      <c r="C68" s="10"/>
      <c r="D68" s="10"/>
      <c r="E68" s="10">
        <v>5.99</v>
      </c>
      <c r="F68" s="10">
        <v>10</v>
      </c>
      <c r="G68" s="10">
        <v>9</v>
      </c>
      <c r="H68" s="10">
        <v>6.5</v>
      </c>
      <c r="I68" s="10">
        <v>5</v>
      </c>
      <c r="J68" s="10">
        <v>5</v>
      </c>
      <c r="K68" s="10">
        <v>3.75</v>
      </c>
      <c r="L68" s="10">
        <v>4.75</v>
      </c>
      <c r="M68" s="10">
        <v>1.75</v>
      </c>
      <c r="N68" s="10">
        <v>1.75</v>
      </c>
      <c r="O68" s="10">
        <v>5</v>
      </c>
      <c r="P68" s="10">
        <v>5.25</v>
      </c>
      <c r="Q68" s="10">
        <v>2.25</v>
      </c>
      <c r="R68" s="10">
        <v>0.75</v>
      </c>
      <c r="S68" s="10">
        <v>1.75</v>
      </c>
      <c r="T68" s="10">
        <v>9</v>
      </c>
      <c r="U68" s="10">
        <v>5.75</v>
      </c>
      <c r="V68" s="10">
        <v>4</v>
      </c>
      <c r="W68" s="10"/>
    </row>
    <row r="69" spans="2:23" s="9" customFormat="1" x14ac:dyDescent="0.2">
      <c r="B69" s="8" t="s">
        <v>125</v>
      </c>
      <c r="C69" s="10"/>
      <c r="D69" s="10"/>
      <c r="E69" s="10">
        <v>5.99</v>
      </c>
      <c r="F69" s="10">
        <v>10</v>
      </c>
      <c r="G69" s="10">
        <v>9</v>
      </c>
      <c r="H69" s="10">
        <v>6.5</v>
      </c>
      <c r="I69" s="10">
        <v>5</v>
      </c>
      <c r="J69" s="10">
        <v>5</v>
      </c>
      <c r="K69" s="10">
        <v>3.75</v>
      </c>
      <c r="L69" s="10">
        <v>4.75</v>
      </c>
      <c r="M69" s="10">
        <v>1.75</v>
      </c>
      <c r="N69" s="10">
        <v>1.75</v>
      </c>
      <c r="O69" s="10">
        <v>5</v>
      </c>
      <c r="P69" s="10">
        <v>5.25</v>
      </c>
      <c r="Q69" s="10">
        <v>2.25</v>
      </c>
      <c r="R69" s="10">
        <v>0.75</v>
      </c>
      <c r="S69" s="10">
        <v>1.75</v>
      </c>
      <c r="T69" s="10">
        <v>9</v>
      </c>
      <c r="U69" s="10">
        <v>5.75</v>
      </c>
      <c r="V69" s="10">
        <v>4</v>
      </c>
      <c r="W69" s="10"/>
    </row>
    <row r="70" spans="2:23" s="9" customFormat="1" x14ac:dyDescent="0.2">
      <c r="B70" s="8" t="s">
        <v>126</v>
      </c>
      <c r="C70" s="10"/>
      <c r="D70" s="10">
        <v>5.98</v>
      </c>
      <c r="E70" s="10">
        <v>5.99</v>
      </c>
      <c r="F70" s="10">
        <v>10</v>
      </c>
      <c r="G70" s="10">
        <v>9</v>
      </c>
      <c r="H70" s="10">
        <v>6.5</v>
      </c>
      <c r="I70" s="10">
        <v>5</v>
      </c>
      <c r="J70" s="10">
        <v>5</v>
      </c>
      <c r="K70" s="10">
        <v>3.75</v>
      </c>
      <c r="L70" s="10">
        <v>4.75</v>
      </c>
      <c r="M70" s="10">
        <v>1.75</v>
      </c>
      <c r="N70" s="10">
        <v>1.75</v>
      </c>
      <c r="O70" s="10">
        <v>5</v>
      </c>
      <c r="P70" s="10">
        <v>5.25</v>
      </c>
      <c r="Q70" s="10">
        <v>2.25</v>
      </c>
      <c r="R70" s="10">
        <v>0.75</v>
      </c>
      <c r="S70" s="10">
        <v>1.75</v>
      </c>
      <c r="T70" s="10">
        <v>9</v>
      </c>
      <c r="U70" s="10">
        <v>5.75</v>
      </c>
      <c r="V70" s="10">
        <v>4</v>
      </c>
      <c r="W70" s="10"/>
    </row>
    <row r="71" spans="2:23" s="9" customFormat="1" x14ac:dyDescent="0.2">
      <c r="B71" s="8" t="s">
        <v>127</v>
      </c>
      <c r="C71" s="10"/>
      <c r="D71" s="10">
        <v>5.98</v>
      </c>
      <c r="E71" s="10">
        <v>5.99</v>
      </c>
      <c r="F71" s="10">
        <v>10</v>
      </c>
      <c r="G71" s="10">
        <v>9</v>
      </c>
      <c r="H71" s="10">
        <v>6.5</v>
      </c>
      <c r="I71" s="10">
        <v>5</v>
      </c>
      <c r="J71" s="10">
        <v>5</v>
      </c>
      <c r="K71" s="10">
        <v>3.75</v>
      </c>
      <c r="L71" s="10">
        <v>4.75</v>
      </c>
      <c r="M71" s="10">
        <v>1.75</v>
      </c>
      <c r="N71" s="10">
        <v>1.75</v>
      </c>
      <c r="O71" s="10">
        <v>5</v>
      </c>
      <c r="P71" s="10">
        <v>5.25</v>
      </c>
      <c r="Q71" s="10">
        <v>2.25</v>
      </c>
      <c r="R71" s="10">
        <v>0.75</v>
      </c>
      <c r="S71" s="10">
        <v>1.75</v>
      </c>
      <c r="T71" s="10">
        <v>9</v>
      </c>
      <c r="U71" s="10">
        <v>5.75</v>
      </c>
      <c r="V71" s="10">
        <v>4</v>
      </c>
      <c r="W71" s="10"/>
    </row>
    <row r="72" spans="2:23" s="9" customFormat="1" x14ac:dyDescent="0.2">
      <c r="B72" s="8" t="s">
        <v>128</v>
      </c>
      <c r="C72" s="10"/>
      <c r="D72" s="10">
        <v>5.98</v>
      </c>
      <c r="E72" s="10">
        <v>5.99</v>
      </c>
      <c r="F72" s="10">
        <v>10</v>
      </c>
      <c r="G72" s="10">
        <v>9</v>
      </c>
      <c r="H72" s="10">
        <v>6.5</v>
      </c>
      <c r="I72" s="10">
        <v>5</v>
      </c>
      <c r="J72" s="10">
        <v>5</v>
      </c>
      <c r="K72" s="10">
        <v>3.75</v>
      </c>
      <c r="L72" s="10">
        <v>4.75</v>
      </c>
      <c r="M72" s="10">
        <v>1.75</v>
      </c>
      <c r="N72" s="10">
        <v>1.75</v>
      </c>
      <c r="O72" s="10">
        <v>5</v>
      </c>
      <c r="P72" s="10">
        <v>5.25</v>
      </c>
      <c r="Q72" s="10">
        <v>2.25</v>
      </c>
      <c r="R72" s="10">
        <v>0.75</v>
      </c>
      <c r="S72" s="10">
        <v>1.75</v>
      </c>
      <c r="T72" s="10">
        <v>9</v>
      </c>
      <c r="U72" s="10">
        <v>5.75</v>
      </c>
      <c r="V72" s="10">
        <v>4</v>
      </c>
      <c r="W72" s="10"/>
    </row>
    <row r="73" spans="2:23" s="9" customFormat="1" x14ac:dyDescent="0.2">
      <c r="B73" s="8" t="s">
        <v>129</v>
      </c>
      <c r="C73" s="10"/>
      <c r="D73" s="10">
        <v>5.98</v>
      </c>
      <c r="E73" s="10"/>
      <c r="F73" s="10">
        <v>10</v>
      </c>
      <c r="G73" s="10">
        <v>9</v>
      </c>
      <c r="H73" s="10">
        <v>6.5</v>
      </c>
      <c r="I73" s="10">
        <v>5</v>
      </c>
      <c r="J73" s="10">
        <v>5</v>
      </c>
      <c r="K73" s="10">
        <v>3.75</v>
      </c>
      <c r="L73" s="10">
        <v>4.75</v>
      </c>
      <c r="M73" s="10">
        <v>1.75</v>
      </c>
      <c r="N73" s="10">
        <v>1.75</v>
      </c>
      <c r="O73" s="10">
        <v>5</v>
      </c>
      <c r="P73" s="10">
        <v>5.25</v>
      </c>
      <c r="Q73" s="10">
        <v>2.25</v>
      </c>
      <c r="R73" s="10">
        <v>0.75</v>
      </c>
      <c r="S73" s="10">
        <v>1.75</v>
      </c>
      <c r="T73" s="10">
        <v>9</v>
      </c>
      <c r="U73" s="10">
        <v>5.75</v>
      </c>
      <c r="V73" s="10">
        <v>4</v>
      </c>
      <c r="W73" s="10"/>
    </row>
    <row r="74" spans="2:23" s="9" customFormat="1" x14ac:dyDescent="0.2">
      <c r="B74" s="8" t="s">
        <v>130</v>
      </c>
      <c r="C74" s="10"/>
      <c r="D74" s="10">
        <v>5.98</v>
      </c>
      <c r="E74" s="10"/>
      <c r="F74" s="10">
        <v>10</v>
      </c>
      <c r="G74" s="10">
        <v>9</v>
      </c>
      <c r="H74" s="10">
        <v>6.5</v>
      </c>
      <c r="I74" s="10">
        <v>5</v>
      </c>
      <c r="J74" s="10">
        <v>5</v>
      </c>
      <c r="K74" s="10">
        <v>3.75</v>
      </c>
      <c r="L74" s="10">
        <v>4.75</v>
      </c>
      <c r="M74" s="10">
        <v>1.75</v>
      </c>
      <c r="N74" s="10">
        <v>1.75</v>
      </c>
      <c r="O74" s="10">
        <v>5</v>
      </c>
      <c r="P74" s="10">
        <v>5.25</v>
      </c>
      <c r="Q74" s="10">
        <v>2.25</v>
      </c>
      <c r="R74" s="10">
        <v>0.75</v>
      </c>
      <c r="S74" s="10">
        <v>1.75</v>
      </c>
      <c r="T74" s="10">
        <v>9</v>
      </c>
      <c r="U74" s="10">
        <v>5.75</v>
      </c>
      <c r="V74" s="10">
        <v>4</v>
      </c>
      <c r="W74" s="10"/>
    </row>
    <row r="75" spans="2:23" s="9" customFormat="1" x14ac:dyDescent="0.2">
      <c r="B75" s="8" t="s">
        <v>131</v>
      </c>
      <c r="C75" s="10"/>
      <c r="D75" s="10"/>
      <c r="E75" s="10">
        <v>5.99</v>
      </c>
      <c r="F75" s="10">
        <v>10</v>
      </c>
      <c r="G75" s="10">
        <v>9</v>
      </c>
      <c r="H75" s="10">
        <v>6.5</v>
      </c>
      <c r="I75" s="10">
        <v>5</v>
      </c>
      <c r="J75" s="10">
        <v>5</v>
      </c>
      <c r="K75" s="10">
        <v>3.75</v>
      </c>
      <c r="L75" s="10">
        <v>4.75</v>
      </c>
      <c r="M75" s="10">
        <v>1.75</v>
      </c>
      <c r="N75" s="10">
        <v>1.75</v>
      </c>
      <c r="O75" s="10">
        <v>5</v>
      </c>
      <c r="P75" s="10">
        <v>5.25</v>
      </c>
      <c r="Q75" s="10">
        <v>2.25</v>
      </c>
      <c r="R75" s="10">
        <v>0.75</v>
      </c>
      <c r="S75" s="10">
        <v>1.75</v>
      </c>
      <c r="T75" s="10">
        <v>9</v>
      </c>
      <c r="U75" s="10">
        <v>5.75</v>
      </c>
      <c r="V75" s="10">
        <v>4</v>
      </c>
      <c r="W75" s="10"/>
    </row>
    <row r="76" spans="2:23" s="9" customFormat="1" x14ac:dyDescent="0.2">
      <c r="B76" s="8" t="s">
        <v>132</v>
      </c>
      <c r="C76" s="10"/>
      <c r="D76" s="10"/>
      <c r="E76" s="10">
        <v>5.99</v>
      </c>
      <c r="F76" s="10">
        <v>10</v>
      </c>
      <c r="G76" s="10">
        <v>9</v>
      </c>
      <c r="H76" s="10">
        <v>6.5</v>
      </c>
      <c r="I76" s="10">
        <v>5</v>
      </c>
      <c r="J76" s="10">
        <v>5</v>
      </c>
      <c r="K76" s="10">
        <v>3.75</v>
      </c>
      <c r="L76" s="10">
        <v>4.75</v>
      </c>
      <c r="M76" s="10">
        <v>1.75</v>
      </c>
      <c r="N76" s="10">
        <v>1.75</v>
      </c>
      <c r="O76" s="10">
        <v>5</v>
      </c>
      <c r="P76" s="10">
        <v>5.25</v>
      </c>
      <c r="Q76" s="10">
        <v>2.25</v>
      </c>
      <c r="R76" s="10">
        <v>0.75</v>
      </c>
      <c r="S76" s="10">
        <v>1.75</v>
      </c>
      <c r="T76" s="10">
        <v>9</v>
      </c>
      <c r="U76" s="10">
        <v>5.75</v>
      </c>
      <c r="V76" s="10">
        <v>4</v>
      </c>
      <c r="W76" s="10"/>
    </row>
    <row r="77" spans="2:23" s="9" customFormat="1" x14ac:dyDescent="0.2">
      <c r="B77" s="8" t="s">
        <v>133</v>
      </c>
      <c r="C77" s="10"/>
      <c r="D77" s="10">
        <v>5.98</v>
      </c>
      <c r="E77" s="10">
        <v>5.99</v>
      </c>
      <c r="F77" s="10">
        <v>10</v>
      </c>
      <c r="G77" s="10">
        <v>9</v>
      </c>
      <c r="H77" s="10">
        <v>6.5</v>
      </c>
      <c r="I77" s="10">
        <v>5</v>
      </c>
      <c r="J77" s="10">
        <v>5</v>
      </c>
      <c r="K77" s="10">
        <v>3.75</v>
      </c>
      <c r="L77" s="10">
        <v>4.75</v>
      </c>
      <c r="M77" s="10">
        <v>1.75</v>
      </c>
      <c r="N77" s="10">
        <v>1.75</v>
      </c>
      <c r="O77" s="10">
        <v>5</v>
      </c>
      <c r="P77" s="10">
        <v>5.25</v>
      </c>
      <c r="Q77" s="10">
        <v>2.25</v>
      </c>
      <c r="R77" s="10">
        <v>0.75</v>
      </c>
      <c r="S77" s="10">
        <v>1.75</v>
      </c>
      <c r="T77" s="10">
        <v>9</v>
      </c>
      <c r="U77" s="10">
        <v>5.75</v>
      </c>
      <c r="V77" s="10">
        <v>4</v>
      </c>
      <c r="W77" s="10"/>
    </row>
    <row r="78" spans="2:23" s="9" customFormat="1" x14ac:dyDescent="0.2">
      <c r="B78" s="8" t="s">
        <v>134</v>
      </c>
      <c r="C78" s="10"/>
      <c r="D78" s="10">
        <v>5.98</v>
      </c>
      <c r="E78" s="10">
        <v>5.99</v>
      </c>
      <c r="F78" s="10">
        <v>10</v>
      </c>
      <c r="G78" s="10">
        <v>9</v>
      </c>
      <c r="H78" s="10">
        <v>6.5</v>
      </c>
      <c r="I78" s="10">
        <v>5</v>
      </c>
      <c r="J78" s="10">
        <v>5</v>
      </c>
      <c r="K78" s="10">
        <v>4.75</v>
      </c>
      <c r="L78" s="10">
        <v>4.75</v>
      </c>
      <c r="M78" s="10">
        <v>1.75</v>
      </c>
      <c r="N78" s="10">
        <v>1.75</v>
      </c>
      <c r="O78" s="10">
        <v>5</v>
      </c>
      <c r="P78" s="10">
        <v>5.25</v>
      </c>
      <c r="Q78" s="10">
        <v>2.25</v>
      </c>
      <c r="R78" s="10">
        <v>0.75</v>
      </c>
      <c r="S78" s="10">
        <v>1.75</v>
      </c>
      <c r="T78" s="10">
        <v>9</v>
      </c>
      <c r="U78" s="10">
        <v>5.75</v>
      </c>
      <c r="V78" s="10">
        <v>4</v>
      </c>
      <c r="W78" s="10"/>
    </row>
    <row r="79" spans="2:23" s="9" customFormat="1" x14ac:dyDescent="0.2">
      <c r="B79" s="8" t="s">
        <v>135</v>
      </c>
      <c r="C79" s="10"/>
      <c r="D79" s="10">
        <v>5.98</v>
      </c>
      <c r="E79" s="10">
        <v>5.99</v>
      </c>
      <c r="F79" s="10">
        <v>10</v>
      </c>
      <c r="G79" s="10">
        <v>9</v>
      </c>
      <c r="H79" s="10">
        <v>6.5</v>
      </c>
      <c r="I79" s="10">
        <v>5</v>
      </c>
      <c r="J79" s="10">
        <v>5</v>
      </c>
      <c r="K79" s="10">
        <v>4.75</v>
      </c>
      <c r="L79" s="10">
        <v>4.75</v>
      </c>
      <c r="M79" s="10">
        <v>1.75</v>
      </c>
      <c r="N79" s="10">
        <v>1.75</v>
      </c>
      <c r="O79" s="10">
        <v>5</v>
      </c>
      <c r="P79" s="10">
        <v>5.25</v>
      </c>
      <c r="Q79" s="10">
        <v>2.25</v>
      </c>
      <c r="R79" s="10">
        <v>0.75</v>
      </c>
      <c r="S79" s="10">
        <v>1.75</v>
      </c>
      <c r="T79" s="10">
        <v>9</v>
      </c>
      <c r="U79" s="10">
        <v>5.75</v>
      </c>
      <c r="V79" s="10">
        <v>4</v>
      </c>
      <c r="W79" s="10"/>
    </row>
    <row r="80" spans="2:23" s="9" customFormat="1" x14ac:dyDescent="0.2">
      <c r="B80" s="8" t="s">
        <v>136</v>
      </c>
      <c r="C80" s="10"/>
      <c r="D80" s="10">
        <v>5.98</v>
      </c>
      <c r="E80" s="10"/>
      <c r="F80" s="10">
        <v>10</v>
      </c>
      <c r="G80" s="10">
        <v>9</v>
      </c>
      <c r="H80" s="10">
        <v>6.5</v>
      </c>
      <c r="I80" s="10">
        <v>5</v>
      </c>
      <c r="J80" s="10">
        <v>5</v>
      </c>
      <c r="K80" s="10">
        <v>4.75</v>
      </c>
      <c r="L80" s="10">
        <v>4.75</v>
      </c>
      <c r="M80" s="10">
        <v>1.75</v>
      </c>
      <c r="N80" s="10">
        <v>1.75</v>
      </c>
      <c r="O80" s="10">
        <v>5</v>
      </c>
      <c r="P80" s="10">
        <v>5.25</v>
      </c>
      <c r="Q80" s="10">
        <v>2.25</v>
      </c>
      <c r="R80" s="10">
        <v>0.75</v>
      </c>
      <c r="S80" s="10">
        <v>2.5</v>
      </c>
      <c r="T80" s="10">
        <v>9</v>
      </c>
      <c r="U80" s="10">
        <v>5.75</v>
      </c>
      <c r="V80" s="10">
        <v>4</v>
      </c>
      <c r="W80" s="10"/>
    </row>
    <row r="81" spans="2:23" s="9" customFormat="1" x14ac:dyDescent="0.2">
      <c r="B81" s="8" t="s">
        <v>137</v>
      </c>
      <c r="C81" s="10">
        <v>8.51</v>
      </c>
      <c r="D81" s="10">
        <v>5.98</v>
      </c>
      <c r="E81" s="10"/>
      <c r="F81" s="10">
        <v>10</v>
      </c>
      <c r="G81" s="10">
        <v>9</v>
      </c>
      <c r="H81" s="10">
        <v>6.5</v>
      </c>
      <c r="I81" s="10">
        <v>5</v>
      </c>
      <c r="J81" s="10">
        <v>5</v>
      </c>
      <c r="K81" s="10">
        <v>4.75</v>
      </c>
      <c r="L81" s="10">
        <v>4.75</v>
      </c>
      <c r="M81" s="10">
        <v>1.75</v>
      </c>
      <c r="N81" s="10">
        <v>1.75</v>
      </c>
      <c r="O81" s="10">
        <v>5</v>
      </c>
      <c r="P81" s="10">
        <v>5.25</v>
      </c>
      <c r="Q81" s="10">
        <v>2.25</v>
      </c>
      <c r="R81" s="10">
        <v>0.75</v>
      </c>
      <c r="S81" s="10">
        <v>2.5</v>
      </c>
      <c r="T81" s="10">
        <v>8.5</v>
      </c>
      <c r="U81" s="10">
        <v>5.75</v>
      </c>
      <c r="V81" s="10">
        <v>4</v>
      </c>
      <c r="W81" s="10"/>
    </row>
    <row r="82" spans="2:23" s="9" customFormat="1" x14ac:dyDescent="0.2">
      <c r="B82" s="8" t="s">
        <v>138</v>
      </c>
      <c r="C82" s="10">
        <v>8.51</v>
      </c>
      <c r="D82" s="10"/>
      <c r="E82" s="10">
        <v>5.99</v>
      </c>
      <c r="F82" s="10">
        <v>10</v>
      </c>
      <c r="G82" s="10">
        <v>9</v>
      </c>
      <c r="H82" s="10">
        <v>6.5</v>
      </c>
      <c r="I82" s="10">
        <v>5</v>
      </c>
      <c r="J82" s="10">
        <v>5</v>
      </c>
      <c r="K82" s="10">
        <v>4.75</v>
      </c>
      <c r="L82" s="10">
        <v>4.75</v>
      </c>
      <c r="M82" s="10">
        <v>1.75</v>
      </c>
      <c r="N82" s="10">
        <v>1.75</v>
      </c>
      <c r="O82" s="10">
        <v>5</v>
      </c>
      <c r="P82" s="10">
        <v>5.25</v>
      </c>
      <c r="Q82" s="10">
        <v>1.25</v>
      </c>
      <c r="R82" s="10">
        <v>0.75</v>
      </c>
      <c r="S82" s="10">
        <v>2.5</v>
      </c>
      <c r="T82" s="10">
        <v>8.5</v>
      </c>
      <c r="U82" s="10">
        <v>5.75</v>
      </c>
      <c r="V82" s="10">
        <v>4</v>
      </c>
      <c r="W82" s="10"/>
    </row>
    <row r="83" spans="2:23" s="9" customFormat="1" x14ac:dyDescent="0.2">
      <c r="B83" s="8" t="s">
        <v>139</v>
      </c>
      <c r="C83" s="10"/>
      <c r="D83" s="10"/>
      <c r="E83" s="10">
        <v>5.99</v>
      </c>
      <c r="F83" s="10">
        <v>10</v>
      </c>
      <c r="G83" s="10">
        <v>9</v>
      </c>
      <c r="H83" s="10">
        <v>6.5</v>
      </c>
      <c r="I83" s="10">
        <v>5</v>
      </c>
      <c r="J83" s="10">
        <v>5</v>
      </c>
      <c r="K83" s="10">
        <v>4.75</v>
      </c>
      <c r="L83" s="10">
        <v>4.75</v>
      </c>
      <c r="M83" s="10">
        <v>1.75</v>
      </c>
      <c r="N83" s="10">
        <v>1.75</v>
      </c>
      <c r="O83" s="10">
        <v>5</v>
      </c>
      <c r="P83" s="10">
        <v>5.25</v>
      </c>
      <c r="Q83" s="10">
        <v>1.25</v>
      </c>
      <c r="R83" s="10">
        <v>0.75</v>
      </c>
      <c r="S83" s="10">
        <v>2.5</v>
      </c>
      <c r="T83" s="10">
        <v>8.5</v>
      </c>
      <c r="U83" s="10">
        <v>5.75</v>
      </c>
      <c r="V83" s="10">
        <v>4</v>
      </c>
      <c r="W83" s="10"/>
    </row>
    <row r="84" spans="2:23" s="9" customFormat="1" x14ac:dyDescent="0.2">
      <c r="B84" s="8" t="s">
        <v>140</v>
      </c>
      <c r="C84" s="10"/>
      <c r="D84" s="10">
        <v>5.98</v>
      </c>
      <c r="E84" s="10">
        <v>5.99</v>
      </c>
      <c r="F84" s="10">
        <v>10</v>
      </c>
      <c r="G84" s="10">
        <v>9</v>
      </c>
      <c r="H84" s="10">
        <v>6.5</v>
      </c>
      <c r="I84" s="10">
        <v>5</v>
      </c>
      <c r="J84" s="10">
        <v>5</v>
      </c>
      <c r="K84" s="10">
        <v>4.75</v>
      </c>
      <c r="L84" s="10">
        <v>4.5</v>
      </c>
      <c r="M84" s="10">
        <v>1.75</v>
      </c>
      <c r="N84" s="10">
        <v>1.75</v>
      </c>
      <c r="O84" s="10">
        <v>5</v>
      </c>
      <c r="P84" s="10">
        <v>5.25</v>
      </c>
      <c r="Q84" s="10">
        <v>1.25</v>
      </c>
      <c r="R84" s="10">
        <v>0.75</v>
      </c>
      <c r="S84" s="10">
        <v>2.5</v>
      </c>
      <c r="T84" s="10">
        <v>8.5</v>
      </c>
      <c r="U84" s="10">
        <v>5.75</v>
      </c>
      <c r="V84" s="10">
        <v>4</v>
      </c>
      <c r="W84" s="10"/>
    </row>
    <row r="85" spans="2:23" s="9" customFormat="1" x14ac:dyDescent="0.2">
      <c r="B85" s="8" t="s">
        <v>141</v>
      </c>
      <c r="C85" s="10">
        <v>8.51</v>
      </c>
      <c r="D85" s="10">
        <v>5.98</v>
      </c>
      <c r="E85" s="10"/>
      <c r="F85" s="10">
        <v>10</v>
      </c>
      <c r="G85" s="10">
        <v>9</v>
      </c>
      <c r="H85" s="10">
        <v>6.5</v>
      </c>
      <c r="I85" s="10">
        <v>5</v>
      </c>
      <c r="J85" s="10">
        <v>5</v>
      </c>
      <c r="K85" s="10">
        <v>4.75</v>
      </c>
      <c r="L85" s="10">
        <v>4.5</v>
      </c>
      <c r="M85" s="10">
        <v>1.75</v>
      </c>
      <c r="N85" s="10">
        <v>1.75</v>
      </c>
      <c r="O85" s="10">
        <v>5</v>
      </c>
      <c r="P85" s="10">
        <v>5.25</v>
      </c>
      <c r="Q85" s="10">
        <v>1.25</v>
      </c>
      <c r="R85" s="10">
        <v>0.75</v>
      </c>
      <c r="S85" s="10">
        <v>2.5</v>
      </c>
      <c r="T85" s="10">
        <v>8.5</v>
      </c>
      <c r="U85" s="10">
        <v>5.75</v>
      </c>
      <c r="V85" s="10">
        <v>4</v>
      </c>
      <c r="W85" s="10"/>
    </row>
    <row r="86" spans="2:23" s="9" customFormat="1" x14ac:dyDescent="0.2">
      <c r="B86" s="8" t="s">
        <v>142</v>
      </c>
      <c r="C86" s="10">
        <v>8.51</v>
      </c>
      <c r="D86" s="10">
        <v>5.98</v>
      </c>
      <c r="E86" s="10"/>
      <c r="F86" s="10">
        <v>10</v>
      </c>
      <c r="G86" s="10">
        <v>9</v>
      </c>
      <c r="H86" s="10">
        <v>6.5</v>
      </c>
      <c r="I86" s="10">
        <v>5</v>
      </c>
      <c r="J86" s="10">
        <v>5</v>
      </c>
      <c r="K86" s="10">
        <v>4.75</v>
      </c>
      <c r="L86" s="10">
        <v>4.5</v>
      </c>
      <c r="M86" s="10">
        <v>1.75</v>
      </c>
      <c r="N86" s="10">
        <v>1.75</v>
      </c>
      <c r="O86" s="10">
        <v>5</v>
      </c>
      <c r="P86" s="10">
        <v>5.25</v>
      </c>
      <c r="Q86" s="10">
        <v>1.25</v>
      </c>
      <c r="R86" s="10">
        <v>0.75</v>
      </c>
      <c r="S86" s="10">
        <v>2.5</v>
      </c>
      <c r="T86" s="10">
        <v>8.5</v>
      </c>
      <c r="U86" s="10">
        <v>5.75</v>
      </c>
      <c r="V86" s="10">
        <v>4</v>
      </c>
      <c r="W86" s="10"/>
    </row>
    <row r="87" spans="2:23" s="9" customFormat="1" x14ac:dyDescent="0.2">
      <c r="B87" s="8" t="s">
        <v>143</v>
      </c>
      <c r="C87" s="10">
        <v>8.51</v>
      </c>
      <c r="D87" s="10">
        <v>5.98</v>
      </c>
      <c r="E87" s="10"/>
      <c r="F87" s="10">
        <v>10</v>
      </c>
      <c r="G87" s="10">
        <v>9</v>
      </c>
      <c r="H87" s="10">
        <v>6.5</v>
      </c>
      <c r="I87" s="10">
        <v>5</v>
      </c>
      <c r="J87" s="10">
        <v>5</v>
      </c>
      <c r="K87" s="10">
        <v>4.75</v>
      </c>
      <c r="L87" s="10">
        <v>4.5</v>
      </c>
      <c r="M87" s="10">
        <v>1.75</v>
      </c>
      <c r="N87" s="10">
        <v>1.75</v>
      </c>
      <c r="O87" s="10">
        <v>5</v>
      </c>
      <c r="P87" s="10">
        <v>5.25</v>
      </c>
      <c r="Q87" s="10">
        <v>1.25</v>
      </c>
      <c r="R87" s="10">
        <v>0.75</v>
      </c>
      <c r="S87" s="10">
        <v>2.5</v>
      </c>
      <c r="T87" s="10">
        <v>8.5</v>
      </c>
      <c r="U87" s="10">
        <v>5.25</v>
      </c>
      <c r="V87" s="10">
        <v>4</v>
      </c>
      <c r="W87" s="10"/>
    </row>
    <row r="88" spans="2:23" s="9" customFormat="1" x14ac:dyDescent="0.2">
      <c r="B88" s="8" t="s">
        <v>144</v>
      </c>
      <c r="C88" s="10">
        <v>8.51</v>
      </c>
      <c r="D88" s="10">
        <v>5.98</v>
      </c>
      <c r="E88" s="10"/>
      <c r="F88" s="10">
        <v>10</v>
      </c>
      <c r="G88" s="10">
        <v>9</v>
      </c>
      <c r="H88" s="10">
        <v>6.5</v>
      </c>
      <c r="I88" s="10">
        <v>5</v>
      </c>
      <c r="J88" s="10">
        <v>5</v>
      </c>
      <c r="K88" s="10">
        <v>4.75</v>
      </c>
      <c r="L88" s="10">
        <v>4.5</v>
      </c>
      <c r="M88" s="10">
        <v>1.75</v>
      </c>
      <c r="N88" s="10">
        <v>1.75</v>
      </c>
      <c r="O88" s="10">
        <v>5</v>
      </c>
      <c r="P88" s="10">
        <v>5.25</v>
      </c>
      <c r="Q88" s="10">
        <v>1.25</v>
      </c>
      <c r="R88" s="10">
        <v>0.75</v>
      </c>
      <c r="S88" s="10">
        <v>2.5</v>
      </c>
      <c r="T88" s="10">
        <v>8.5</v>
      </c>
      <c r="U88" s="10">
        <v>5.25</v>
      </c>
      <c r="V88" s="10">
        <v>4</v>
      </c>
      <c r="W88" s="10"/>
    </row>
    <row r="89" spans="2:23" s="9" customFormat="1" x14ac:dyDescent="0.2">
      <c r="B89" s="8" t="s">
        <v>145</v>
      </c>
      <c r="C89" s="10">
        <v>8.51</v>
      </c>
      <c r="D89" s="10"/>
      <c r="E89" s="10">
        <v>5.99</v>
      </c>
      <c r="F89" s="10">
        <v>10</v>
      </c>
      <c r="G89" s="10">
        <v>9</v>
      </c>
      <c r="H89" s="10">
        <v>6.5</v>
      </c>
      <c r="I89" s="10">
        <v>5</v>
      </c>
      <c r="J89" s="10">
        <v>5</v>
      </c>
      <c r="K89" s="10">
        <v>4.75</v>
      </c>
      <c r="L89" s="10">
        <v>4.5</v>
      </c>
      <c r="M89" s="10">
        <v>1.75</v>
      </c>
      <c r="N89" s="10">
        <v>1.75</v>
      </c>
      <c r="O89" s="10">
        <v>5</v>
      </c>
      <c r="P89" s="10">
        <v>5.25</v>
      </c>
      <c r="Q89" s="10">
        <v>1.25</v>
      </c>
      <c r="R89" s="10">
        <v>0.75</v>
      </c>
      <c r="S89" s="10">
        <v>2.5</v>
      </c>
      <c r="T89" s="10">
        <v>8.5</v>
      </c>
      <c r="U89" s="10">
        <v>5.25</v>
      </c>
      <c r="V89" s="10">
        <v>4</v>
      </c>
      <c r="W89" s="10"/>
    </row>
    <row r="90" spans="2:23" s="9" customFormat="1" x14ac:dyDescent="0.2">
      <c r="B90" s="8" t="s">
        <v>146</v>
      </c>
      <c r="C90" s="10"/>
      <c r="D90" s="10"/>
      <c r="E90" s="10">
        <v>5.99</v>
      </c>
      <c r="F90" s="10">
        <v>10</v>
      </c>
      <c r="G90" s="10">
        <v>9</v>
      </c>
      <c r="H90" s="10">
        <v>6.5</v>
      </c>
      <c r="I90" s="10">
        <v>5</v>
      </c>
      <c r="J90" s="10">
        <v>5</v>
      </c>
      <c r="K90" s="10">
        <v>4.75</v>
      </c>
      <c r="L90" s="10">
        <v>4.5</v>
      </c>
      <c r="M90" s="10">
        <v>1.75</v>
      </c>
      <c r="N90" s="10">
        <v>1.75</v>
      </c>
      <c r="O90" s="10">
        <v>5</v>
      </c>
      <c r="P90" s="10">
        <v>5.25</v>
      </c>
      <c r="Q90" s="10">
        <v>1.25</v>
      </c>
      <c r="R90" s="10">
        <v>0.75</v>
      </c>
      <c r="S90" s="10">
        <v>2.5</v>
      </c>
      <c r="T90" s="10">
        <v>8.5</v>
      </c>
      <c r="U90" s="10">
        <v>5.25</v>
      </c>
      <c r="V90" s="10">
        <v>4</v>
      </c>
      <c r="W90" s="10"/>
    </row>
    <row r="91" spans="2:23" s="9" customFormat="1" x14ac:dyDescent="0.2">
      <c r="B91" s="8" t="s">
        <v>147</v>
      </c>
      <c r="C91" s="10"/>
      <c r="D91" s="10">
        <v>5.98</v>
      </c>
      <c r="E91" s="10">
        <v>5.99</v>
      </c>
      <c r="F91" s="10">
        <v>10</v>
      </c>
      <c r="G91" s="10">
        <v>9</v>
      </c>
      <c r="H91" s="10">
        <v>6.5</v>
      </c>
      <c r="I91" s="10">
        <v>5</v>
      </c>
      <c r="J91" s="10">
        <v>5</v>
      </c>
      <c r="K91" s="10">
        <v>4.75</v>
      </c>
      <c r="L91" s="10">
        <v>4.5</v>
      </c>
      <c r="M91" s="10">
        <v>1.75</v>
      </c>
      <c r="N91" s="10">
        <v>1.75</v>
      </c>
      <c r="O91" s="10">
        <v>5</v>
      </c>
      <c r="P91" s="10">
        <v>5.25</v>
      </c>
      <c r="Q91" s="10">
        <v>1.25</v>
      </c>
      <c r="R91" s="10">
        <v>0.75</v>
      </c>
      <c r="S91" s="10">
        <v>2.5</v>
      </c>
      <c r="T91" s="10">
        <v>8.5</v>
      </c>
      <c r="U91" s="10">
        <v>5.25</v>
      </c>
      <c r="V91" s="10">
        <v>4</v>
      </c>
      <c r="W91" s="10"/>
    </row>
    <row r="92" spans="2:23" s="9" customFormat="1" x14ac:dyDescent="0.2">
      <c r="B92" s="8" t="s">
        <v>148</v>
      </c>
      <c r="C92" s="10">
        <v>8.51</v>
      </c>
      <c r="D92" s="10">
        <v>5.98</v>
      </c>
      <c r="E92" s="10">
        <v>5.99</v>
      </c>
      <c r="F92" s="10">
        <v>10</v>
      </c>
      <c r="G92" s="10">
        <v>9</v>
      </c>
      <c r="H92" s="10">
        <v>6.5</v>
      </c>
      <c r="I92" s="10">
        <v>5</v>
      </c>
      <c r="J92" s="10">
        <v>5</v>
      </c>
      <c r="K92" s="10">
        <v>4.75</v>
      </c>
      <c r="L92" s="10">
        <v>4.5</v>
      </c>
      <c r="M92" s="10">
        <v>1.75</v>
      </c>
      <c r="N92" s="10">
        <v>1.75</v>
      </c>
      <c r="O92" s="10">
        <v>5</v>
      </c>
      <c r="P92" s="10">
        <v>5.25</v>
      </c>
      <c r="Q92" s="10">
        <v>1.25</v>
      </c>
      <c r="R92" s="10">
        <v>0.75</v>
      </c>
      <c r="S92" s="10">
        <v>2.5</v>
      </c>
      <c r="T92" s="10">
        <v>8.5</v>
      </c>
      <c r="U92" s="10">
        <v>5.25</v>
      </c>
      <c r="V92" s="10">
        <v>4</v>
      </c>
      <c r="W92" s="10"/>
    </row>
    <row r="93" spans="2:23" s="9" customFormat="1" x14ac:dyDescent="0.2">
      <c r="B93" s="8" t="s">
        <v>149</v>
      </c>
      <c r="C93" s="10">
        <v>8.51</v>
      </c>
      <c r="D93" s="10">
        <v>5.98</v>
      </c>
      <c r="E93" s="10">
        <v>5.99</v>
      </c>
      <c r="F93" s="10">
        <v>10</v>
      </c>
      <c r="G93" s="10">
        <v>9</v>
      </c>
      <c r="H93" s="10">
        <v>6.5</v>
      </c>
      <c r="I93" s="10">
        <v>5</v>
      </c>
      <c r="J93" s="10">
        <v>5</v>
      </c>
      <c r="K93" s="10">
        <v>4.75</v>
      </c>
      <c r="L93" s="10">
        <v>4.5</v>
      </c>
      <c r="M93" s="10">
        <v>1.75</v>
      </c>
      <c r="N93" s="10">
        <v>1.75</v>
      </c>
      <c r="O93" s="10">
        <v>5</v>
      </c>
      <c r="P93" s="10">
        <v>5</v>
      </c>
      <c r="Q93" s="10">
        <v>1.25</v>
      </c>
      <c r="R93" s="10">
        <v>0.75</v>
      </c>
      <c r="S93" s="10">
        <v>2.5</v>
      </c>
      <c r="T93" s="10">
        <v>8.5</v>
      </c>
      <c r="U93" s="10">
        <v>5.25</v>
      </c>
      <c r="V93" s="10">
        <v>4</v>
      </c>
      <c r="W93" s="10"/>
    </row>
    <row r="94" spans="2:23" s="9" customFormat="1" x14ac:dyDescent="0.2">
      <c r="B94" s="8" t="s">
        <v>150</v>
      </c>
      <c r="C94" s="10">
        <v>8.51</v>
      </c>
      <c r="D94" s="10">
        <v>5.98</v>
      </c>
      <c r="E94" s="10"/>
      <c r="F94" s="10">
        <v>10</v>
      </c>
      <c r="G94" s="10">
        <v>9</v>
      </c>
      <c r="H94" s="10">
        <v>6.5</v>
      </c>
      <c r="I94" s="10">
        <v>5</v>
      </c>
      <c r="J94" s="10">
        <v>5</v>
      </c>
      <c r="K94" s="10">
        <v>4.75</v>
      </c>
      <c r="L94" s="10">
        <v>4.5</v>
      </c>
      <c r="M94" s="10">
        <v>1.75</v>
      </c>
      <c r="N94" s="10">
        <v>1.75</v>
      </c>
      <c r="O94" s="10">
        <v>5</v>
      </c>
      <c r="P94" s="10">
        <v>5</v>
      </c>
      <c r="Q94" s="10">
        <v>1.25</v>
      </c>
      <c r="R94" s="10">
        <v>0.75</v>
      </c>
      <c r="S94" s="10">
        <v>2.5</v>
      </c>
      <c r="T94" s="10">
        <v>8.5</v>
      </c>
      <c r="U94" s="10">
        <v>5.25</v>
      </c>
      <c r="V94" s="10">
        <v>4</v>
      </c>
      <c r="W94" s="10"/>
    </row>
    <row r="95" spans="2:23" s="9" customFormat="1" x14ac:dyDescent="0.2">
      <c r="B95" s="8" t="s">
        <v>151</v>
      </c>
      <c r="C95" s="10">
        <v>8.51</v>
      </c>
      <c r="D95" s="10">
        <v>5.98</v>
      </c>
      <c r="E95" s="10"/>
      <c r="F95" s="10">
        <v>10</v>
      </c>
      <c r="G95" s="10">
        <v>9</v>
      </c>
      <c r="H95" s="10">
        <v>6.5</v>
      </c>
      <c r="I95" s="10">
        <v>5</v>
      </c>
      <c r="J95" s="10">
        <v>5</v>
      </c>
      <c r="K95" s="10">
        <v>4.75</v>
      </c>
      <c r="L95" s="10">
        <v>4.5</v>
      </c>
      <c r="M95" s="10">
        <v>1.75</v>
      </c>
      <c r="N95" s="10">
        <v>1.75</v>
      </c>
      <c r="O95" s="10">
        <v>5</v>
      </c>
      <c r="P95" s="10">
        <v>5</v>
      </c>
      <c r="Q95" s="10">
        <v>1.25</v>
      </c>
      <c r="R95" s="10">
        <v>0.75</v>
      </c>
      <c r="S95" s="10">
        <v>2.5</v>
      </c>
      <c r="T95" s="10">
        <v>8.5</v>
      </c>
      <c r="U95" s="10">
        <v>5.25</v>
      </c>
      <c r="V95" s="10">
        <v>4</v>
      </c>
      <c r="W95" s="10"/>
    </row>
    <row r="96" spans="2:23" x14ac:dyDescent="0.2">
      <c r="B96" s="21" t="s">
        <v>152</v>
      </c>
      <c r="C96" s="12">
        <v>8.51</v>
      </c>
      <c r="D96" s="12"/>
      <c r="E96" s="12">
        <v>5.99</v>
      </c>
      <c r="F96" s="12">
        <v>10</v>
      </c>
      <c r="G96" s="12">
        <v>9</v>
      </c>
      <c r="H96" s="12">
        <v>6.5</v>
      </c>
      <c r="I96" s="12">
        <v>5</v>
      </c>
      <c r="J96" s="12">
        <v>5</v>
      </c>
      <c r="K96" s="12">
        <v>4.75</v>
      </c>
      <c r="L96" s="12">
        <v>4.5</v>
      </c>
      <c r="M96" s="12">
        <v>1.75</v>
      </c>
      <c r="N96" s="12">
        <v>1.75</v>
      </c>
      <c r="O96" s="12">
        <v>5</v>
      </c>
      <c r="P96" s="12">
        <v>5</v>
      </c>
      <c r="Q96" s="12">
        <v>1.25</v>
      </c>
      <c r="R96" s="12">
        <v>0.75</v>
      </c>
      <c r="S96" s="12">
        <v>2.5</v>
      </c>
      <c r="T96" s="12">
        <v>8.5</v>
      </c>
      <c r="U96" s="22">
        <v>5.25</v>
      </c>
      <c r="V96" s="22">
        <v>4</v>
      </c>
      <c r="W96" s="23"/>
    </row>
    <row r="97" spans="2:23" s="9" customFormat="1" x14ac:dyDescent="0.2">
      <c r="B97" s="8" t="s">
        <v>153</v>
      </c>
      <c r="C97" s="10"/>
      <c r="D97" s="10"/>
      <c r="E97" s="10">
        <v>5.99</v>
      </c>
      <c r="F97" s="10">
        <v>10</v>
      </c>
      <c r="G97" s="10">
        <v>9</v>
      </c>
      <c r="H97" s="10">
        <v>6.5</v>
      </c>
      <c r="I97" s="10">
        <v>5</v>
      </c>
      <c r="J97" s="10">
        <v>5</v>
      </c>
      <c r="K97" s="10">
        <v>4.75</v>
      </c>
      <c r="L97" s="10">
        <v>4.5</v>
      </c>
      <c r="M97" s="10">
        <v>1.75</v>
      </c>
      <c r="N97" s="10">
        <v>1.75</v>
      </c>
      <c r="O97" s="10">
        <v>5</v>
      </c>
      <c r="P97" s="10">
        <v>5</v>
      </c>
      <c r="Q97" s="10">
        <v>1.25</v>
      </c>
      <c r="R97" s="10">
        <v>0.75</v>
      </c>
      <c r="S97" s="10">
        <v>2.5</v>
      </c>
      <c r="T97" s="10">
        <v>8.5</v>
      </c>
      <c r="U97" s="10">
        <v>5.25</v>
      </c>
      <c r="V97" s="10">
        <v>4</v>
      </c>
      <c r="W97" s="10"/>
    </row>
    <row r="98" spans="2:23" s="9" customFormat="1" x14ac:dyDescent="0.2">
      <c r="B98" s="8" t="s">
        <v>154</v>
      </c>
      <c r="C98" s="10"/>
      <c r="D98" s="10">
        <v>5.98</v>
      </c>
      <c r="E98" s="10">
        <v>5.99</v>
      </c>
      <c r="F98" s="10">
        <v>10</v>
      </c>
      <c r="G98" s="10">
        <v>9</v>
      </c>
      <c r="H98" s="10">
        <v>6.5</v>
      </c>
      <c r="I98" s="10">
        <v>5</v>
      </c>
      <c r="J98" s="10">
        <v>5</v>
      </c>
      <c r="K98" s="10">
        <v>4.75</v>
      </c>
      <c r="L98" s="10">
        <v>4.5</v>
      </c>
      <c r="M98" s="10">
        <v>1.75</v>
      </c>
      <c r="N98" s="10">
        <v>1.75</v>
      </c>
      <c r="O98" s="10">
        <v>5</v>
      </c>
      <c r="P98" s="10">
        <v>5</v>
      </c>
      <c r="Q98" s="10">
        <v>1.25</v>
      </c>
      <c r="R98" s="10">
        <v>0.75</v>
      </c>
      <c r="S98" s="10">
        <v>2.5</v>
      </c>
      <c r="T98" s="10">
        <v>8.5</v>
      </c>
      <c r="U98" s="10">
        <v>5.25</v>
      </c>
      <c r="V98" s="10">
        <v>4</v>
      </c>
      <c r="W98" s="10"/>
    </row>
    <row r="99" spans="2:23" s="9" customFormat="1" x14ac:dyDescent="0.2">
      <c r="B99" s="8" t="s">
        <v>155</v>
      </c>
      <c r="C99" s="10">
        <v>8.51</v>
      </c>
      <c r="D99" s="10">
        <v>5.98</v>
      </c>
      <c r="E99" s="10">
        <v>5.99</v>
      </c>
      <c r="F99" s="10">
        <v>10</v>
      </c>
      <c r="G99" s="10">
        <v>9</v>
      </c>
      <c r="H99" s="10">
        <v>6.5</v>
      </c>
      <c r="I99" s="10">
        <v>5</v>
      </c>
      <c r="J99" s="10">
        <v>5</v>
      </c>
      <c r="K99" s="10">
        <v>4.75</v>
      </c>
      <c r="L99" s="10">
        <v>4.5</v>
      </c>
      <c r="M99" s="10">
        <v>1.75</v>
      </c>
      <c r="N99" s="10">
        <v>1.75</v>
      </c>
      <c r="O99" s="10">
        <v>5</v>
      </c>
      <c r="P99" s="10">
        <v>5</v>
      </c>
      <c r="Q99" s="10">
        <v>1.25</v>
      </c>
      <c r="R99" s="10">
        <v>0.75</v>
      </c>
      <c r="S99" s="10">
        <v>2.5</v>
      </c>
      <c r="T99" s="10">
        <v>8.5</v>
      </c>
      <c r="U99" s="10">
        <v>5.25</v>
      </c>
      <c r="V99" s="10">
        <v>4</v>
      </c>
      <c r="W99" s="10"/>
    </row>
    <row r="100" spans="2:23" s="9" customFormat="1" x14ac:dyDescent="0.2">
      <c r="B100" s="8" t="s">
        <v>156</v>
      </c>
      <c r="C100" s="10">
        <v>8.51</v>
      </c>
      <c r="D100" s="10">
        <v>5.98</v>
      </c>
      <c r="E100" s="10">
        <v>5.99</v>
      </c>
      <c r="F100" s="10">
        <v>10</v>
      </c>
      <c r="G100" s="10">
        <v>9</v>
      </c>
      <c r="H100" s="10">
        <v>6.5</v>
      </c>
      <c r="I100" s="10">
        <v>5</v>
      </c>
      <c r="J100" s="10">
        <v>5</v>
      </c>
      <c r="K100" s="10">
        <v>4.75</v>
      </c>
      <c r="L100" s="10">
        <v>4.5</v>
      </c>
      <c r="M100" s="10">
        <v>1.75</v>
      </c>
      <c r="N100" s="10">
        <v>1.75</v>
      </c>
      <c r="O100" s="10">
        <v>5</v>
      </c>
      <c r="P100" s="10">
        <v>5</v>
      </c>
      <c r="Q100" s="10">
        <v>1.25</v>
      </c>
      <c r="R100" s="10">
        <v>0.75</v>
      </c>
      <c r="S100" s="10">
        <v>2.5</v>
      </c>
      <c r="T100" s="10">
        <v>8.5</v>
      </c>
      <c r="U100" s="10">
        <v>5.25</v>
      </c>
      <c r="V100" s="10">
        <v>4</v>
      </c>
      <c r="W100" s="10"/>
    </row>
    <row r="101" spans="2:23" s="9" customFormat="1" x14ac:dyDescent="0.2">
      <c r="B101" s="8" t="s">
        <v>157</v>
      </c>
      <c r="C101" s="10">
        <v>8.51</v>
      </c>
      <c r="D101" s="10"/>
      <c r="E101" s="10"/>
      <c r="F101" s="10">
        <v>10</v>
      </c>
      <c r="G101" s="10">
        <v>9</v>
      </c>
      <c r="H101" s="10">
        <v>6.5</v>
      </c>
      <c r="I101" s="10">
        <v>5</v>
      </c>
      <c r="J101" s="10">
        <v>5</v>
      </c>
      <c r="K101" s="10">
        <v>4.75</v>
      </c>
      <c r="L101" s="10">
        <v>4.5</v>
      </c>
      <c r="M101" s="10">
        <v>1.75</v>
      </c>
      <c r="N101" s="10">
        <v>1.75</v>
      </c>
      <c r="O101" s="10">
        <v>5</v>
      </c>
      <c r="P101" s="10">
        <v>5</v>
      </c>
      <c r="Q101" s="10">
        <v>1.25</v>
      </c>
      <c r="R101" s="10">
        <v>0.75</v>
      </c>
      <c r="S101" s="10">
        <v>2.5</v>
      </c>
      <c r="T101" s="10">
        <v>8.5</v>
      </c>
      <c r="U101" s="10">
        <v>5.25</v>
      </c>
      <c r="V101" s="10">
        <v>4</v>
      </c>
      <c r="W101" s="10"/>
    </row>
    <row r="102" spans="2:23" s="9" customFormat="1" x14ac:dyDescent="0.2">
      <c r="B102" s="8" t="s">
        <v>158</v>
      </c>
      <c r="C102" s="10">
        <v>8.51</v>
      </c>
      <c r="D102" s="10"/>
      <c r="E102" s="10"/>
      <c r="F102" s="10">
        <v>10</v>
      </c>
      <c r="G102" s="10">
        <v>9</v>
      </c>
      <c r="H102" s="10">
        <v>6.5</v>
      </c>
      <c r="I102" s="10">
        <v>5</v>
      </c>
      <c r="J102" s="10">
        <v>5</v>
      </c>
      <c r="K102" s="10">
        <v>4.75</v>
      </c>
      <c r="L102" s="10">
        <v>4.5</v>
      </c>
      <c r="M102" s="10">
        <v>1.75</v>
      </c>
      <c r="N102" s="10">
        <v>2.25</v>
      </c>
      <c r="O102" s="10">
        <v>5</v>
      </c>
      <c r="P102" s="10">
        <v>5</v>
      </c>
      <c r="Q102" s="10">
        <v>1.25</v>
      </c>
      <c r="R102" s="10">
        <v>0.75</v>
      </c>
      <c r="S102" s="10">
        <v>2.5</v>
      </c>
      <c r="T102" s="10">
        <v>8.5</v>
      </c>
      <c r="U102" s="10">
        <v>5.25</v>
      </c>
      <c r="V102" s="10">
        <v>4</v>
      </c>
      <c r="W102" s="10"/>
    </row>
    <row r="103" spans="2:23" s="9" customFormat="1" x14ac:dyDescent="0.2">
      <c r="B103" s="8" t="s">
        <v>159</v>
      </c>
      <c r="C103" s="10">
        <v>8.51</v>
      </c>
      <c r="D103" s="10"/>
      <c r="E103" s="10">
        <v>5.99</v>
      </c>
      <c r="F103" s="10">
        <v>10</v>
      </c>
      <c r="G103" s="10">
        <v>9</v>
      </c>
      <c r="H103" s="10">
        <v>6.5</v>
      </c>
      <c r="I103" s="10">
        <v>5</v>
      </c>
      <c r="J103" s="10">
        <v>5</v>
      </c>
      <c r="K103" s="10">
        <v>4.75</v>
      </c>
      <c r="L103" s="10">
        <v>4.5</v>
      </c>
      <c r="M103" s="10">
        <v>1.75</v>
      </c>
      <c r="N103" s="10">
        <v>2.25</v>
      </c>
      <c r="O103" s="10">
        <v>5</v>
      </c>
      <c r="P103" s="10">
        <v>5</v>
      </c>
      <c r="Q103" s="10">
        <v>1.25</v>
      </c>
      <c r="R103" s="10">
        <v>0.75</v>
      </c>
      <c r="S103" s="10">
        <v>2.5</v>
      </c>
      <c r="T103" s="10">
        <v>8.5</v>
      </c>
      <c r="U103" s="10">
        <v>5.25</v>
      </c>
      <c r="V103" s="10">
        <v>4</v>
      </c>
      <c r="W103" s="10"/>
    </row>
    <row r="104" spans="2:23" s="9" customFormat="1" x14ac:dyDescent="0.2">
      <c r="B104" s="8" t="s">
        <v>160</v>
      </c>
      <c r="C104" s="10"/>
      <c r="D104" s="10"/>
      <c r="E104" s="10">
        <v>5.99</v>
      </c>
      <c r="F104" s="10">
        <v>10</v>
      </c>
      <c r="G104" s="10">
        <v>9</v>
      </c>
      <c r="H104" s="10">
        <v>6.5</v>
      </c>
      <c r="I104" s="10">
        <v>5</v>
      </c>
      <c r="J104" s="10">
        <v>5</v>
      </c>
      <c r="K104" s="10">
        <v>4.75</v>
      </c>
      <c r="L104" s="10">
        <v>4.5</v>
      </c>
      <c r="M104" s="10">
        <v>1.75</v>
      </c>
      <c r="N104" s="10">
        <v>2.25</v>
      </c>
      <c r="O104" s="10">
        <v>5</v>
      </c>
      <c r="P104" s="10">
        <v>5</v>
      </c>
      <c r="Q104" s="10">
        <v>1.25</v>
      </c>
      <c r="R104" s="10">
        <v>0.75</v>
      </c>
      <c r="S104" s="10">
        <v>2.5</v>
      </c>
      <c r="T104" s="10">
        <v>8.5</v>
      </c>
      <c r="U104" s="10">
        <v>5.25</v>
      </c>
      <c r="V104" s="10">
        <v>4</v>
      </c>
      <c r="W104" s="10"/>
    </row>
    <row r="105" spans="2:23" s="9" customFormat="1" x14ac:dyDescent="0.2">
      <c r="B105" s="8" t="s">
        <v>161</v>
      </c>
      <c r="C105" s="10"/>
      <c r="D105" s="10">
        <v>5.98</v>
      </c>
      <c r="E105" s="10">
        <v>5.99</v>
      </c>
      <c r="F105" s="10">
        <v>10</v>
      </c>
      <c r="G105" s="10">
        <v>9</v>
      </c>
      <c r="H105" s="10">
        <v>6.5</v>
      </c>
      <c r="I105" s="10">
        <v>5</v>
      </c>
      <c r="J105" s="10">
        <v>5</v>
      </c>
      <c r="K105" s="10">
        <v>4.75</v>
      </c>
      <c r="L105" s="10">
        <v>4.5</v>
      </c>
      <c r="M105" s="10">
        <v>1.75</v>
      </c>
      <c r="N105" s="10">
        <v>2.25</v>
      </c>
      <c r="O105" s="10">
        <v>5</v>
      </c>
      <c r="P105" s="10">
        <v>5</v>
      </c>
      <c r="Q105" s="10">
        <v>1.25</v>
      </c>
      <c r="R105" s="10">
        <v>0.75</v>
      </c>
      <c r="S105" s="10">
        <v>2.5</v>
      </c>
      <c r="T105" s="10">
        <v>8.5</v>
      </c>
      <c r="U105" s="10">
        <v>5.25</v>
      </c>
      <c r="V105" s="10">
        <v>4</v>
      </c>
      <c r="W105" s="10"/>
    </row>
    <row r="106" spans="2:23" s="9" customFormat="1" x14ac:dyDescent="0.2">
      <c r="B106" s="8" t="s">
        <v>162</v>
      </c>
      <c r="C106" s="10">
        <v>8.51</v>
      </c>
      <c r="D106" s="10">
        <v>5.98</v>
      </c>
      <c r="E106" s="10">
        <v>5.99</v>
      </c>
      <c r="F106" s="10">
        <v>10</v>
      </c>
      <c r="G106" s="10">
        <v>9</v>
      </c>
      <c r="H106" s="10">
        <v>6.5</v>
      </c>
      <c r="I106" s="10">
        <v>5</v>
      </c>
      <c r="J106" s="10">
        <v>5</v>
      </c>
      <c r="K106" s="10">
        <v>4.75</v>
      </c>
      <c r="L106" s="10">
        <v>4.5</v>
      </c>
      <c r="M106" s="10">
        <v>1.75</v>
      </c>
      <c r="N106" s="10">
        <v>2.25</v>
      </c>
      <c r="O106" s="10">
        <v>5</v>
      </c>
      <c r="P106" s="10">
        <v>5</v>
      </c>
      <c r="Q106" s="10">
        <v>1.25</v>
      </c>
      <c r="R106" s="10">
        <v>0.75</v>
      </c>
      <c r="S106" s="10">
        <v>2.5</v>
      </c>
      <c r="T106" s="10">
        <v>8.5</v>
      </c>
      <c r="U106" s="10">
        <v>5.25</v>
      </c>
      <c r="V106" s="10">
        <v>4</v>
      </c>
      <c r="W106" s="10"/>
    </row>
    <row r="107" spans="2:23" s="9" customFormat="1" x14ac:dyDescent="0.2">
      <c r="B107" s="8" t="s">
        <v>163</v>
      </c>
      <c r="C107" s="10">
        <v>8.51</v>
      </c>
      <c r="D107" s="10">
        <v>5.98</v>
      </c>
      <c r="E107" s="10">
        <v>5.99</v>
      </c>
      <c r="F107" s="10">
        <v>10</v>
      </c>
      <c r="G107" s="10">
        <v>9</v>
      </c>
      <c r="H107" s="10">
        <v>6.5</v>
      </c>
      <c r="I107" s="10">
        <v>5</v>
      </c>
      <c r="J107" s="10">
        <v>5</v>
      </c>
      <c r="K107" s="10">
        <v>4.75</v>
      </c>
      <c r="L107" s="10">
        <v>4.5</v>
      </c>
      <c r="M107" s="10">
        <v>1.75</v>
      </c>
      <c r="N107" s="10">
        <v>2.25</v>
      </c>
      <c r="O107" s="10">
        <v>5</v>
      </c>
      <c r="P107" s="10">
        <v>5</v>
      </c>
      <c r="Q107" s="10">
        <v>1.25</v>
      </c>
      <c r="R107" s="10">
        <v>0.75</v>
      </c>
      <c r="S107" s="10">
        <v>2.5</v>
      </c>
      <c r="T107" s="10">
        <v>8.5</v>
      </c>
      <c r="U107" s="10">
        <v>5.25</v>
      </c>
      <c r="V107" s="10">
        <v>4</v>
      </c>
      <c r="W107" s="10"/>
    </row>
    <row r="108" spans="2:23" s="9" customFormat="1" x14ac:dyDescent="0.2">
      <c r="B108" s="8" t="s">
        <v>164</v>
      </c>
      <c r="C108" s="10">
        <v>8.51</v>
      </c>
      <c r="D108" s="10">
        <v>5.98</v>
      </c>
      <c r="E108" s="10"/>
      <c r="F108" s="10">
        <v>10</v>
      </c>
      <c r="G108" s="10">
        <v>9</v>
      </c>
      <c r="H108" s="10">
        <v>6.5</v>
      </c>
      <c r="I108" s="10">
        <v>5</v>
      </c>
      <c r="J108" s="10">
        <v>5</v>
      </c>
      <c r="K108" s="10">
        <v>4.75</v>
      </c>
      <c r="L108" s="10">
        <v>4.5</v>
      </c>
      <c r="M108" s="10">
        <v>1.75</v>
      </c>
      <c r="N108" s="10">
        <v>2.25</v>
      </c>
      <c r="O108" s="10">
        <v>5</v>
      </c>
      <c r="P108" s="10">
        <v>5</v>
      </c>
      <c r="Q108" s="10">
        <v>1.25</v>
      </c>
      <c r="R108" s="10">
        <v>0.75</v>
      </c>
      <c r="S108" s="10">
        <v>2.5</v>
      </c>
      <c r="T108" s="10">
        <v>8.5</v>
      </c>
      <c r="U108" s="10">
        <v>5.25</v>
      </c>
      <c r="V108" s="10">
        <v>4</v>
      </c>
      <c r="W108" s="10"/>
    </row>
    <row r="109" spans="2:23" s="9" customFormat="1" x14ac:dyDescent="0.2">
      <c r="B109" s="8" t="s">
        <v>165</v>
      </c>
      <c r="C109" s="10"/>
      <c r="D109" s="10">
        <v>5.98</v>
      </c>
      <c r="E109" s="10"/>
      <c r="F109" s="10">
        <v>10</v>
      </c>
      <c r="G109" s="10">
        <v>9</v>
      </c>
      <c r="H109" s="10">
        <v>6.5</v>
      </c>
      <c r="I109" s="10">
        <v>5</v>
      </c>
      <c r="J109" s="10">
        <v>5</v>
      </c>
      <c r="K109" s="10">
        <v>4.75</v>
      </c>
      <c r="L109" s="10">
        <v>4.5</v>
      </c>
      <c r="M109" s="10">
        <v>1.75</v>
      </c>
      <c r="N109" s="10">
        <v>2.25</v>
      </c>
      <c r="O109" s="10">
        <v>5</v>
      </c>
      <c r="P109" s="10">
        <v>5</v>
      </c>
      <c r="Q109" s="10">
        <v>1.25</v>
      </c>
      <c r="R109" s="10">
        <v>0.75</v>
      </c>
      <c r="S109" s="10">
        <v>2.5</v>
      </c>
      <c r="T109" s="10">
        <v>8.5</v>
      </c>
      <c r="U109" s="10">
        <v>5.25</v>
      </c>
      <c r="V109" s="10">
        <v>4</v>
      </c>
      <c r="W109" s="10"/>
    </row>
    <row r="110" spans="2:23" s="9" customFormat="1" x14ac:dyDescent="0.2">
      <c r="B110" s="8" t="s">
        <v>166</v>
      </c>
      <c r="C110" s="10"/>
      <c r="D110" s="10"/>
      <c r="E110" s="10"/>
      <c r="F110" s="10">
        <v>10</v>
      </c>
      <c r="G110" s="10">
        <v>9</v>
      </c>
      <c r="H110" s="10">
        <v>6.5</v>
      </c>
      <c r="I110" s="10">
        <v>5</v>
      </c>
      <c r="J110" s="10">
        <v>5</v>
      </c>
      <c r="K110" s="10">
        <v>4.75</v>
      </c>
      <c r="L110" s="10">
        <v>4.5</v>
      </c>
      <c r="M110" s="10">
        <v>1.75</v>
      </c>
      <c r="N110" s="10">
        <v>2.25</v>
      </c>
      <c r="O110" s="10">
        <v>5</v>
      </c>
      <c r="P110" s="10">
        <v>5</v>
      </c>
      <c r="Q110" s="10">
        <v>1.25</v>
      </c>
      <c r="R110" s="10">
        <v>0.75</v>
      </c>
      <c r="S110" s="10">
        <v>2.5</v>
      </c>
      <c r="T110" s="10">
        <v>8.5</v>
      </c>
      <c r="U110" s="10">
        <v>5.25</v>
      </c>
      <c r="V110" s="10">
        <v>4</v>
      </c>
      <c r="W110" s="10"/>
    </row>
    <row r="111" spans="2:23" s="9" customFormat="1" x14ac:dyDescent="0.2">
      <c r="B111" s="8" t="s">
        <v>167</v>
      </c>
      <c r="C111" s="10"/>
      <c r="D111" s="10"/>
      <c r="E111" s="10">
        <v>5.99</v>
      </c>
      <c r="F111" s="10">
        <v>10</v>
      </c>
      <c r="G111" s="10">
        <v>9</v>
      </c>
      <c r="H111" s="10">
        <v>6.5</v>
      </c>
      <c r="I111" s="10">
        <v>5</v>
      </c>
      <c r="J111" s="10">
        <v>5</v>
      </c>
      <c r="K111" s="10">
        <v>4.75</v>
      </c>
      <c r="L111" s="10">
        <v>4.5</v>
      </c>
      <c r="M111" s="10">
        <v>1.75</v>
      </c>
      <c r="N111" s="10">
        <v>2.25</v>
      </c>
      <c r="O111" s="10">
        <v>5</v>
      </c>
      <c r="P111" s="10">
        <v>5</v>
      </c>
      <c r="Q111" s="10">
        <v>1.25</v>
      </c>
      <c r="R111" s="10">
        <v>0.75</v>
      </c>
      <c r="S111" s="10">
        <v>2.5</v>
      </c>
      <c r="T111" s="10">
        <v>8.5</v>
      </c>
      <c r="U111" s="10">
        <v>5.25</v>
      </c>
      <c r="V111" s="10">
        <v>4</v>
      </c>
      <c r="W111" s="10"/>
    </row>
    <row r="112" spans="2:23" s="9" customFormat="1" x14ac:dyDescent="0.2">
      <c r="B112" s="8" t="s">
        <v>168</v>
      </c>
      <c r="C112" s="10"/>
      <c r="D112" s="10"/>
      <c r="E112" s="10">
        <v>5.99</v>
      </c>
      <c r="F112" s="10">
        <v>10</v>
      </c>
      <c r="G112" s="10">
        <v>9</v>
      </c>
      <c r="H112" s="10">
        <v>6.5</v>
      </c>
      <c r="I112" s="10">
        <v>5</v>
      </c>
      <c r="J112" s="10">
        <v>5</v>
      </c>
      <c r="K112" s="10">
        <v>4.75</v>
      </c>
      <c r="L112" s="10">
        <v>4.5</v>
      </c>
      <c r="M112" s="10">
        <v>1.75</v>
      </c>
      <c r="N112" s="10">
        <v>2.25</v>
      </c>
      <c r="O112" s="10">
        <v>5</v>
      </c>
      <c r="P112" s="10">
        <v>5</v>
      </c>
      <c r="Q112" s="10">
        <v>1.25</v>
      </c>
      <c r="R112" s="10">
        <v>0.75</v>
      </c>
      <c r="S112" s="10">
        <v>2.5</v>
      </c>
      <c r="T112" s="10">
        <v>8.5</v>
      </c>
      <c r="U112" s="10">
        <v>5.25</v>
      </c>
      <c r="V112" s="10">
        <v>4</v>
      </c>
      <c r="W112" s="10"/>
    </row>
    <row r="113" spans="2:23" s="9" customFormat="1" x14ac:dyDescent="0.2">
      <c r="B113" s="8" t="s">
        <v>169</v>
      </c>
      <c r="C113" s="10">
        <v>8.51</v>
      </c>
      <c r="D113" s="10">
        <v>5.98</v>
      </c>
      <c r="E113" s="10">
        <v>5.99</v>
      </c>
      <c r="F113" s="10">
        <v>10</v>
      </c>
      <c r="G113" s="10">
        <v>9</v>
      </c>
      <c r="H113" s="10">
        <v>6.5</v>
      </c>
      <c r="I113" s="10">
        <v>5</v>
      </c>
      <c r="J113" s="10">
        <v>5</v>
      </c>
      <c r="K113" s="10">
        <v>4.75</v>
      </c>
      <c r="L113" s="10">
        <v>4.5</v>
      </c>
      <c r="M113" s="10">
        <v>1.75</v>
      </c>
      <c r="N113" s="10">
        <v>2.25</v>
      </c>
      <c r="O113" s="10">
        <v>5</v>
      </c>
      <c r="P113" s="10">
        <v>5</v>
      </c>
      <c r="Q113" s="10">
        <v>1.25</v>
      </c>
      <c r="R113" s="10">
        <v>0.75</v>
      </c>
      <c r="S113" s="10">
        <v>2.5</v>
      </c>
      <c r="T113" s="10">
        <v>8.5</v>
      </c>
      <c r="U113" s="10">
        <v>5.25</v>
      </c>
      <c r="V113" s="10">
        <v>4</v>
      </c>
      <c r="W113" s="10"/>
    </row>
    <row r="114" spans="2:23" s="9" customFormat="1" x14ac:dyDescent="0.2">
      <c r="B114" s="8" t="s">
        <v>170</v>
      </c>
      <c r="C114" s="10">
        <v>8.51</v>
      </c>
      <c r="D114" s="10">
        <v>5.98</v>
      </c>
      <c r="E114" s="10">
        <v>5.99</v>
      </c>
      <c r="F114" s="10">
        <v>10</v>
      </c>
      <c r="G114" s="10">
        <v>9</v>
      </c>
      <c r="H114" s="10">
        <v>6.5</v>
      </c>
      <c r="I114" s="10">
        <v>5</v>
      </c>
      <c r="J114" s="10">
        <v>5</v>
      </c>
      <c r="K114" s="10">
        <v>4.75</v>
      </c>
      <c r="L114" s="10">
        <v>4.5</v>
      </c>
      <c r="M114" s="10">
        <v>1.75</v>
      </c>
      <c r="N114" s="10">
        <v>2.25</v>
      </c>
      <c r="O114" s="10">
        <v>5</v>
      </c>
      <c r="P114" s="10">
        <v>5</v>
      </c>
      <c r="Q114" s="10">
        <v>1.25</v>
      </c>
      <c r="R114" s="10">
        <v>0.75</v>
      </c>
      <c r="S114" s="10">
        <v>2.5</v>
      </c>
      <c r="T114" s="10">
        <v>8.5</v>
      </c>
      <c r="U114" s="10">
        <v>5.25</v>
      </c>
      <c r="V114" s="10">
        <v>4</v>
      </c>
      <c r="W114" s="10"/>
    </row>
    <row r="115" spans="2:23" s="9" customFormat="1" x14ac:dyDescent="0.2">
      <c r="B115" s="8" t="s">
        <v>171</v>
      </c>
      <c r="C115" s="10">
        <v>8.51</v>
      </c>
      <c r="D115" s="10">
        <v>5.98</v>
      </c>
      <c r="E115" s="10"/>
      <c r="F115" s="10">
        <v>10</v>
      </c>
      <c r="G115" s="10">
        <v>9</v>
      </c>
      <c r="H115" s="10">
        <v>6.5</v>
      </c>
      <c r="I115" s="10">
        <v>5</v>
      </c>
      <c r="J115" s="10">
        <v>5</v>
      </c>
      <c r="K115" s="10">
        <v>4.75</v>
      </c>
      <c r="L115" s="10">
        <v>4.5</v>
      </c>
      <c r="M115" s="10">
        <v>1.75</v>
      </c>
      <c r="N115" s="10">
        <v>2.25</v>
      </c>
      <c r="O115" s="10">
        <v>5</v>
      </c>
      <c r="P115" s="10">
        <v>5</v>
      </c>
      <c r="Q115" s="10">
        <v>1.25</v>
      </c>
      <c r="R115" s="10">
        <v>0.75</v>
      </c>
      <c r="S115" s="10">
        <v>2.5</v>
      </c>
      <c r="T115" s="10">
        <v>8.5</v>
      </c>
      <c r="U115" s="10">
        <v>5.25</v>
      </c>
      <c r="V115" s="10">
        <v>4</v>
      </c>
      <c r="W115" s="10"/>
    </row>
    <row r="116" spans="2:23" s="9" customFormat="1" x14ac:dyDescent="0.2">
      <c r="B116" s="8" t="s">
        <v>172</v>
      </c>
      <c r="C116" s="10">
        <v>8.51</v>
      </c>
      <c r="D116" s="10">
        <v>5.98</v>
      </c>
      <c r="E116" s="10"/>
      <c r="F116" s="10">
        <v>10</v>
      </c>
      <c r="G116" s="10">
        <v>9</v>
      </c>
      <c r="H116" s="10">
        <v>6.5</v>
      </c>
      <c r="I116" s="10">
        <v>5</v>
      </c>
      <c r="J116" s="10">
        <v>5</v>
      </c>
      <c r="K116" s="10">
        <v>4.75</v>
      </c>
      <c r="L116" s="10">
        <v>4.5</v>
      </c>
      <c r="M116" s="10">
        <v>1.75</v>
      </c>
      <c r="N116" s="10">
        <v>2.25</v>
      </c>
      <c r="O116" s="10">
        <v>5</v>
      </c>
      <c r="P116" s="10">
        <v>5</v>
      </c>
      <c r="Q116" s="10">
        <v>1.25</v>
      </c>
      <c r="R116" s="10">
        <v>0.75</v>
      </c>
      <c r="S116" s="10">
        <v>2.5</v>
      </c>
      <c r="T116" s="10">
        <v>8.5</v>
      </c>
      <c r="U116" s="10">
        <v>5.25</v>
      </c>
      <c r="V116" s="10">
        <v>4</v>
      </c>
      <c r="W116" s="10"/>
    </row>
    <row r="117" spans="2:23" s="9" customFormat="1" x14ac:dyDescent="0.2">
      <c r="B117" s="8" t="s">
        <v>173</v>
      </c>
      <c r="C117" s="10">
        <v>8.51</v>
      </c>
      <c r="D117" s="10"/>
      <c r="E117" s="10">
        <v>5.99</v>
      </c>
      <c r="F117" s="10">
        <v>10</v>
      </c>
      <c r="G117" s="10">
        <v>9</v>
      </c>
      <c r="H117" s="10">
        <v>6.5</v>
      </c>
      <c r="I117" s="10">
        <v>5</v>
      </c>
      <c r="J117" s="10">
        <v>5</v>
      </c>
      <c r="K117" s="10">
        <v>4.75</v>
      </c>
      <c r="L117" s="10">
        <v>4.5</v>
      </c>
      <c r="M117" s="10">
        <v>1.75</v>
      </c>
      <c r="N117" s="10">
        <v>2.25</v>
      </c>
      <c r="O117" s="10">
        <v>5</v>
      </c>
      <c r="P117" s="10">
        <v>5</v>
      </c>
      <c r="Q117" s="10">
        <v>1.25</v>
      </c>
      <c r="R117" s="10">
        <v>0.75</v>
      </c>
      <c r="S117" s="10">
        <v>2.5</v>
      </c>
      <c r="T117" s="10">
        <v>7.5</v>
      </c>
      <c r="U117" s="10">
        <v>5.25</v>
      </c>
      <c r="V117" s="10">
        <v>4</v>
      </c>
      <c r="W117" s="10"/>
    </row>
    <row r="118" spans="2:23" s="9" customFormat="1" x14ac:dyDescent="0.2">
      <c r="B118" s="8" t="s">
        <v>174</v>
      </c>
      <c r="C118" s="10"/>
      <c r="D118" s="10"/>
      <c r="E118" s="10">
        <v>5.99</v>
      </c>
      <c r="F118" s="10">
        <v>10</v>
      </c>
      <c r="G118" s="10">
        <v>9</v>
      </c>
      <c r="H118" s="10">
        <v>6.5</v>
      </c>
      <c r="I118" s="10">
        <v>5</v>
      </c>
      <c r="J118" s="10">
        <v>5</v>
      </c>
      <c r="K118" s="10">
        <v>4.75</v>
      </c>
      <c r="L118" s="10">
        <v>4.5</v>
      </c>
      <c r="M118" s="10">
        <v>1.75</v>
      </c>
      <c r="N118" s="10">
        <v>2.25</v>
      </c>
      <c r="O118" s="10">
        <v>5</v>
      </c>
      <c r="P118" s="10">
        <v>5</v>
      </c>
      <c r="Q118" s="10">
        <v>1.25</v>
      </c>
      <c r="R118" s="10">
        <v>0.75</v>
      </c>
      <c r="S118" s="10">
        <v>2.5</v>
      </c>
      <c r="T118" s="10">
        <v>7.5</v>
      </c>
      <c r="U118" s="10">
        <v>5.25</v>
      </c>
      <c r="V118" s="10">
        <v>4</v>
      </c>
      <c r="W118" s="10"/>
    </row>
    <row r="119" spans="2:23" s="9" customFormat="1" x14ac:dyDescent="0.2">
      <c r="B119" s="8" t="s">
        <v>175</v>
      </c>
      <c r="C119" s="10"/>
      <c r="D119" s="10">
        <v>5.98</v>
      </c>
      <c r="E119" s="10">
        <v>5.99</v>
      </c>
      <c r="F119" s="10">
        <v>10</v>
      </c>
      <c r="G119" s="10">
        <v>9</v>
      </c>
      <c r="H119" s="10">
        <v>6.5</v>
      </c>
      <c r="I119" s="10">
        <v>5</v>
      </c>
      <c r="J119" s="10">
        <v>5</v>
      </c>
      <c r="K119" s="10">
        <v>4.75</v>
      </c>
      <c r="L119" s="10">
        <v>4</v>
      </c>
      <c r="M119" s="10">
        <v>1.75</v>
      </c>
      <c r="N119" s="10">
        <v>2.25</v>
      </c>
      <c r="O119" s="10">
        <v>5</v>
      </c>
      <c r="P119" s="10">
        <v>5</v>
      </c>
      <c r="Q119" s="10">
        <v>1.25</v>
      </c>
      <c r="R119" s="10">
        <v>0.75</v>
      </c>
      <c r="S119" s="10">
        <v>2.5</v>
      </c>
      <c r="T119" s="10">
        <v>7.5</v>
      </c>
      <c r="U119" s="10">
        <v>5.25</v>
      </c>
      <c r="V119" s="10">
        <v>4</v>
      </c>
      <c r="W119" s="10"/>
    </row>
    <row r="120" spans="2:23" s="9" customFormat="1" x14ac:dyDescent="0.2">
      <c r="B120" s="8" t="s">
        <v>176</v>
      </c>
      <c r="C120" s="10">
        <v>8.51</v>
      </c>
      <c r="D120" s="10">
        <v>5.98</v>
      </c>
      <c r="E120" s="10">
        <v>5.99</v>
      </c>
      <c r="F120" s="10">
        <v>10</v>
      </c>
      <c r="G120" s="10">
        <v>9</v>
      </c>
      <c r="H120" s="10">
        <v>6.5</v>
      </c>
      <c r="I120" s="10">
        <v>5</v>
      </c>
      <c r="J120" s="10">
        <v>5</v>
      </c>
      <c r="K120" s="10">
        <v>4.75</v>
      </c>
      <c r="L120" s="10">
        <v>4</v>
      </c>
      <c r="M120" s="10">
        <v>1.75</v>
      </c>
      <c r="N120" s="10">
        <v>2.25</v>
      </c>
      <c r="O120" s="10">
        <v>5</v>
      </c>
      <c r="P120" s="10">
        <v>5</v>
      </c>
      <c r="Q120" s="10">
        <v>1.25</v>
      </c>
      <c r="R120" s="10">
        <v>0.75</v>
      </c>
      <c r="S120" s="10">
        <v>2.5</v>
      </c>
      <c r="T120" s="10">
        <v>7.5</v>
      </c>
      <c r="U120" s="10">
        <v>5.25</v>
      </c>
      <c r="V120" s="10">
        <v>4</v>
      </c>
      <c r="W120" s="10"/>
    </row>
    <row r="121" spans="2:23" s="9" customFormat="1" x14ac:dyDescent="0.2">
      <c r="B121" s="8" t="s">
        <v>177</v>
      </c>
      <c r="C121" s="10">
        <v>8.51</v>
      </c>
      <c r="D121" s="10">
        <v>5.98</v>
      </c>
      <c r="E121" s="10">
        <v>5.99</v>
      </c>
      <c r="F121" s="10">
        <v>10</v>
      </c>
      <c r="G121" s="10">
        <v>9</v>
      </c>
      <c r="H121" s="10">
        <v>6.5</v>
      </c>
      <c r="I121" s="10">
        <v>5</v>
      </c>
      <c r="J121" s="10">
        <v>5</v>
      </c>
      <c r="K121" s="10">
        <v>4.75</v>
      </c>
      <c r="L121" s="10">
        <v>4</v>
      </c>
      <c r="M121" s="10">
        <v>1.75</v>
      </c>
      <c r="N121" s="10">
        <v>2.25</v>
      </c>
      <c r="O121" s="10">
        <v>5</v>
      </c>
      <c r="P121" s="10">
        <v>5</v>
      </c>
      <c r="Q121" s="10">
        <v>1.25</v>
      </c>
      <c r="R121" s="10">
        <v>0.75</v>
      </c>
      <c r="S121" s="10">
        <v>2.5</v>
      </c>
      <c r="T121" s="10">
        <v>7.5</v>
      </c>
      <c r="U121" s="10">
        <v>5.25</v>
      </c>
      <c r="V121" s="10">
        <v>4</v>
      </c>
      <c r="W121" s="10"/>
    </row>
    <row r="122" spans="2:23" s="9" customFormat="1" x14ac:dyDescent="0.2">
      <c r="B122" s="8" t="s">
        <v>178</v>
      </c>
      <c r="C122" s="10">
        <v>8.51</v>
      </c>
      <c r="D122" s="10">
        <v>5.98</v>
      </c>
      <c r="E122" s="10"/>
      <c r="F122" s="10">
        <v>10</v>
      </c>
      <c r="G122" s="10">
        <v>9</v>
      </c>
      <c r="H122" s="10">
        <v>6.5</v>
      </c>
      <c r="I122" s="10">
        <v>5</v>
      </c>
      <c r="J122" s="10">
        <v>5</v>
      </c>
      <c r="K122" s="10">
        <v>4.75</v>
      </c>
      <c r="L122" s="10">
        <v>4</v>
      </c>
      <c r="M122" s="10">
        <v>1.75</v>
      </c>
      <c r="N122" s="10">
        <v>2.25</v>
      </c>
      <c r="O122" s="10">
        <v>5</v>
      </c>
      <c r="P122" s="10">
        <v>5</v>
      </c>
      <c r="Q122" s="10">
        <v>1.25</v>
      </c>
      <c r="R122" s="10">
        <v>0.75</v>
      </c>
      <c r="S122" s="10">
        <v>2.5</v>
      </c>
      <c r="T122" s="10">
        <v>7.5</v>
      </c>
      <c r="U122" s="10">
        <v>4.75</v>
      </c>
      <c r="V122" s="10">
        <v>4</v>
      </c>
      <c r="W122" s="10"/>
    </row>
    <row r="123" spans="2:23" s="9" customFormat="1" x14ac:dyDescent="0.2">
      <c r="B123" s="8" t="s">
        <v>179</v>
      </c>
      <c r="C123" s="10">
        <v>8.51</v>
      </c>
      <c r="D123" s="10">
        <v>5.98</v>
      </c>
      <c r="E123" s="10"/>
      <c r="F123" s="10">
        <v>10</v>
      </c>
      <c r="G123" s="10">
        <v>9</v>
      </c>
      <c r="H123" s="10">
        <v>6.5</v>
      </c>
      <c r="I123" s="10">
        <v>5</v>
      </c>
      <c r="J123" s="10">
        <v>5</v>
      </c>
      <c r="K123" s="10">
        <v>4.75</v>
      </c>
      <c r="L123" s="10">
        <v>4</v>
      </c>
      <c r="M123" s="10">
        <v>1.75</v>
      </c>
      <c r="N123" s="10">
        <v>2.5</v>
      </c>
      <c r="O123" s="10">
        <v>5</v>
      </c>
      <c r="P123" s="10">
        <v>5</v>
      </c>
      <c r="Q123" s="10">
        <v>1.25</v>
      </c>
      <c r="R123" s="10">
        <v>0.75</v>
      </c>
      <c r="S123" s="10">
        <v>2.5</v>
      </c>
      <c r="T123" s="10">
        <v>7.5</v>
      </c>
      <c r="U123" s="10">
        <v>4.75</v>
      </c>
      <c r="V123" s="10">
        <v>4</v>
      </c>
      <c r="W123" s="10"/>
    </row>
    <row r="124" spans="2:23" s="9" customFormat="1" x14ac:dyDescent="0.2">
      <c r="B124" s="8" t="s">
        <v>180</v>
      </c>
      <c r="C124" s="10">
        <v>8.51</v>
      </c>
      <c r="D124" s="10"/>
      <c r="E124" s="10">
        <v>5.99</v>
      </c>
      <c r="F124" s="10">
        <v>10</v>
      </c>
      <c r="G124" s="10">
        <v>9</v>
      </c>
      <c r="H124" s="10">
        <v>6.5</v>
      </c>
      <c r="I124" s="10">
        <v>5</v>
      </c>
      <c r="J124" s="10">
        <v>5</v>
      </c>
      <c r="K124" s="10">
        <v>4.75</v>
      </c>
      <c r="L124" s="10">
        <v>4</v>
      </c>
      <c r="M124" s="10">
        <v>1.75</v>
      </c>
      <c r="N124" s="10">
        <v>2.5</v>
      </c>
      <c r="O124" s="10">
        <v>5</v>
      </c>
      <c r="P124" s="10">
        <v>5</v>
      </c>
      <c r="Q124" s="10">
        <v>1.25</v>
      </c>
      <c r="R124" s="10">
        <v>0.75</v>
      </c>
      <c r="S124" s="10">
        <v>4</v>
      </c>
      <c r="T124" s="10">
        <v>7.5</v>
      </c>
      <c r="U124" s="10">
        <v>4.75</v>
      </c>
      <c r="V124" s="10">
        <v>4</v>
      </c>
      <c r="W124" s="10"/>
    </row>
    <row r="125" spans="2:23" s="9" customFormat="1" x14ac:dyDescent="0.2">
      <c r="B125" s="8" t="s">
        <v>181</v>
      </c>
      <c r="C125" s="10"/>
      <c r="D125" s="10"/>
      <c r="E125" s="10">
        <v>5.99</v>
      </c>
      <c r="F125" s="10">
        <v>10</v>
      </c>
      <c r="G125" s="10">
        <v>9</v>
      </c>
      <c r="H125" s="10">
        <v>6.5</v>
      </c>
      <c r="I125" s="10">
        <v>5</v>
      </c>
      <c r="J125" s="10">
        <v>5</v>
      </c>
      <c r="K125" s="10">
        <v>4.75</v>
      </c>
      <c r="L125" s="10">
        <v>4</v>
      </c>
      <c r="M125" s="10">
        <v>1.75</v>
      </c>
      <c r="N125" s="10">
        <v>2.5</v>
      </c>
      <c r="O125" s="10">
        <v>5</v>
      </c>
      <c r="P125" s="10">
        <v>5</v>
      </c>
      <c r="Q125" s="10">
        <v>1.25</v>
      </c>
      <c r="R125" s="10">
        <v>0.75</v>
      </c>
      <c r="S125" s="10">
        <v>4</v>
      </c>
      <c r="T125" s="10">
        <v>7.5</v>
      </c>
      <c r="U125" s="10">
        <v>4.75</v>
      </c>
      <c r="V125" s="10">
        <v>4</v>
      </c>
      <c r="W125" s="10"/>
    </row>
    <row r="126" spans="2:23" x14ac:dyDescent="0.2">
      <c r="B126" s="21" t="s">
        <v>182</v>
      </c>
      <c r="C126" s="12"/>
      <c r="D126" s="12">
        <v>5.98</v>
      </c>
      <c r="E126" s="12">
        <v>5.99</v>
      </c>
      <c r="F126" s="12">
        <v>10</v>
      </c>
      <c r="G126" s="12">
        <v>9</v>
      </c>
      <c r="H126" s="12">
        <v>6.5</v>
      </c>
      <c r="I126" s="12">
        <v>5</v>
      </c>
      <c r="J126" s="12">
        <v>5</v>
      </c>
      <c r="K126" s="12">
        <v>4.75</v>
      </c>
      <c r="L126" s="12">
        <v>4</v>
      </c>
      <c r="M126" s="12">
        <v>1.75</v>
      </c>
      <c r="N126" s="12">
        <v>2.5</v>
      </c>
      <c r="O126" s="12">
        <v>5</v>
      </c>
      <c r="P126" s="12">
        <v>5</v>
      </c>
      <c r="Q126" s="12">
        <v>1.25</v>
      </c>
      <c r="R126" s="12">
        <v>0.75</v>
      </c>
      <c r="S126" s="12">
        <v>4</v>
      </c>
      <c r="T126" s="12">
        <v>7.5</v>
      </c>
      <c r="U126" s="22">
        <v>4.75</v>
      </c>
      <c r="V126" s="22">
        <v>4</v>
      </c>
      <c r="W126" s="23"/>
    </row>
    <row r="127" spans="2:23" s="9" customFormat="1" x14ac:dyDescent="0.2">
      <c r="B127" s="8" t="s">
        <v>183</v>
      </c>
      <c r="C127" s="10"/>
      <c r="D127" s="10"/>
      <c r="E127" s="10"/>
      <c r="F127" s="10">
        <v>10</v>
      </c>
      <c r="G127" s="10">
        <v>9</v>
      </c>
      <c r="H127" s="10">
        <v>6.5</v>
      </c>
      <c r="I127" s="10">
        <v>5</v>
      </c>
      <c r="J127" s="10">
        <v>5</v>
      </c>
      <c r="K127" s="10">
        <v>4.75</v>
      </c>
      <c r="L127" s="10">
        <v>4</v>
      </c>
      <c r="M127" s="10">
        <v>1.75</v>
      </c>
      <c r="N127" s="10">
        <v>2.5</v>
      </c>
      <c r="O127" s="10">
        <v>5</v>
      </c>
      <c r="P127" s="10">
        <v>5</v>
      </c>
      <c r="Q127" s="10">
        <v>1.25</v>
      </c>
      <c r="R127" s="10">
        <v>0.75</v>
      </c>
      <c r="S127" s="10">
        <v>4</v>
      </c>
      <c r="T127" s="10">
        <v>7.5</v>
      </c>
      <c r="U127" s="10">
        <v>4.75</v>
      </c>
      <c r="V127" s="10">
        <v>4</v>
      </c>
      <c r="W127" s="10"/>
    </row>
    <row r="128" spans="2:23" s="9" customFormat="1" x14ac:dyDescent="0.2">
      <c r="B128" s="8" t="s">
        <v>184</v>
      </c>
      <c r="C128" s="10">
        <v>8.51</v>
      </c>
      <c r="D128" s="10">
        <v>5.98</v>
      </c>
      <c r="E128" s="10">
        <v>5.99</v>
      </c>
      <c r="F128" s="10">
        <v>10</v>
      </c>
      <c r="G128" s="10">
        <v>9</v>
      </c>
      <c r="H128" s="10">
        <v>6.5</v>
      </c>
      <c r="I128" s="10">
        <v>5</v>
      </c>
      <c r="J128" s="10">
        <v>5</v>
      </c>
      <c r="K128" s="10">
        <v>4.75</v>
      </c>
      <c r="L128" s="10">
        <v>4</v>
      </c>
      <c r="M128" s="10">
        <v>1.75</v>
      </c>
      <c r="N128" s="10">
        <v>2.5</v>
      </c>
      <c r="O128" s="10">
        <v>5</v>
      </c>
      <c r="P128" s="10">
        <v>5</v>
      </c>
      <c r="Q128" s="10">
        <v>1.25</v>
      </c>
      <c r="R128" s="10">
        <v>0.75</v>
      </c>
      <c r="S128" s="10">
        <v>4</v>
      </c>
      <c r="T128" s="10">
        <v>7.5</v>
      </c>
      <c r="U128" s="10">
        <v>4.75</v>
      </c>
      <c r="V128" s="10">
        <v>4</v>
      </c>
      <c r="W128" s="10"/>
    </row>
    <row r="129" spans="2:23" s="9" customFormat="1" x14ac:dyDescent="0.2">
      <c r="B129" s="8" t="s">
        <v>185</v>
      </c>
      <c r="C129" s="10">
        <v>8.51</v>
      </c>
      <c r="D129" s="10">
        <v>5.98</v>
      </c>
      <c r="E129" s="10"/>
      <c r="F129" s="10">
        <v>10</v>
      </c>
      <c r="G129" s="10">
        <v>9</v>
      </c>
      <c r="H129" s="10">
        <v>6.5</v>
      </c>
      <c r="I129" s="10">
        <v>5</v>
      </c>
      <c r="J129" s="10">
        <v>5</v>
      </c>
      <c r="K129" s="10">
        <v>4.75</v>
      </c>
      <c r="L129" s="10">
        <v>4</v>
      </c>
      <c r="M129" s="10">
        <v>1.75</v>
      </c>
      <c r="N129" s="10">
        <v>2.5</v>
      </c>
      <c r="O129" s="10">
        <v>5</v>
      </c>
      <c r="P129" s="10">
        <v>5</v>
      </c>
      <c r="Q129" s="10">
        <v>1.25</v>
      </c>
      <c r="R129" s="10">
        <v>0.75</v>
      </c>
      <c r="S129" s="10">
        <v>4</v>
      </c>
      <c r="T129" s="10">
        <v>7.5</v>
      </c>
      <c r="U129" s="10">
        <v>4.75</v>
      </c>
      <c r="V129" s="10">
        <v>4</v>
      </c>
      <c r="W129" s="10"/>
    </row>
    <row r="130" spans="2:23" s="9" customFormat="1" x14ac:dyDescent="0.2">
      <c r="B130" s="8" t="s">
        <v>186</v>
      </c>
      <c r="C130" s="10">
        <v>8.51</v>
      </c>
      <c r="D130" s="10">
        <v>5.98</v>
      </c>
      <c r="E130" s="10"/>
      <c r="F130" s="10">
        <v>10</v>
      </c>
      <c r="G130" s="10">
        <v>9</v>
      </c>
      <c r="H130" s="10">
        <v>6.5</v>
      </c>
      <c r="I130" s="10">
        <v>5</v>
      </c>
      <c r="J130" s="10">
        <v>5</v>
      </c>
      <c r="K130" s="10">
        <v>4.75</v>
      </c>
      <c r="L130" s="10">
        <v>4</v>
      </c>
      <c r="M130" s="10">
        <v>1.75</v>
      </c>
      <c r="N130" s="10">
        <v>2.5</v>
      </c>
      <c r="O130" s="10">
        <v>5</v>
      </c>
      <c r="P130" s="10">
        <v>5</v>
      </c>
      <c r="Q130" s="10">
        <v>1.25</v>
      </c>
      <c r="R130" s="10">
        <v>0.75</v>
      </c>
      <c r="S130" s="10">
        <v>4</v>
      </c>
      <c r="T130" s="10">
        <v>7.5</v>
      </c>
      <c r="U130" s="10">
        <v>4.75</v>
      </c>
      <c r="V130" s="10">
        <v>4</v>
      </c>
      <c r="W130" s="10"/>
    </row>
    <row r="131" spans="2:23" s="9" customFormat="1" x14ac:dyDescent="0.2">
      <c r="B131" s="8" t="s">
        <v>187</v>
      </c>
      <c r="C131" s="10">
        <v>8.51</v>
      </c>
      <c r="D131" s="10"/>
      <c r="E131" s="10">
        <v>5.99</v>
      </c>
      <c r="F131" s="10">
        <v>10</v>
      </c>
      <c r="G131" s="10">
        <v>9</v>
      </c>
      <c r="H131" s="10">
        <v>6.5</v>
      </c>
      <c r="I131" s="10">
        <v>5</v>
      </c>
      <c r="J131" s="10">
        <v>5</v>
      </c>
      <c r="K131" s="10">
        <v>4.75</v>
      </c>
      <c r="L131" s="10">
        <v>4</v>
      </c>
      <c r="M131" s="10">
        <v>1.75</v>
      </c>
      <c r="N131" s="10">
        <v>2.5</v>
      </c>
      <c r="O131" s="10">
        <v>5</v>
      </c>
      <c r="P131" s="10">
        <v>5</v>
      </c>
      <c r="Q131" s="10">
        <v>1.25</v>
      </c>
      <c r="R131" s="10">
        <v>0.75</v>
      </c>
      <c r="S131" s="10">
        <v>4</v>
      </c>
      <c r="T131" s="10">
        <v>7.5</v>
      </c>
      <c r="U131" s="10">
        <v>4.75</v>
      </c>
      <c r="V131" s="10">
        <v>4</v>
      </c>
      <c r="W131" s="10"/>
    </row>
    <row r="132" spans="2:23" s="9" customFormat="1" x14ac:dyDescent="0.2">
      <c r="B132" s="8" t="s">
        <v>188</v>
      </c>
      <c r="C132" s="10"/>
      <c r="D132" s="10"/>
      <c r="E132" s="10">
        <v>5.99</v>
      </c>
      <c r="F132" s="10">
        <v>10</v>
      </c>
      <c r="G132" s="10">
        <v>9</v>
      </c>
      <c r="H132" s="10">
        <v>6.5</v>
      </c>
      <c r="I132" s="10">
        <v>5</v>
      </c>
      <c r="J132" s="10">
        <v>5</v>
      </c>
      <c r="K132" s="10">
        <v>4.75</v>
      </c>
      <c r="L132" s="10">
        <v>4</v>
      </c>
      <c r="M132" s="10">
        <v>1.75</v>
      </c>
      <c r="N132" s="10">
        <v>2.5</v>
      </c>
      <c r="O132" s="10">
        <v>5</v>
      </c>
      <c r="P132" s="10">
        <v>5</v>
      </c>
      <c r="Q132" s="10">
        <v>1.25</v>
      </c>
      <c r="R132" s="10">
        <v>0.75</v>
      </c>
      <c r="S132" s="10">
        <v>4</v>
      </c>
      <c r="T132" s="10">
        <v>7.5</v>
      </c>
      <c r="U132" s="10">
        <v>4.75</v>
      </c>
      <c r="V132" s="10">
        <v>4</v>
      </c>
      <c r="W132" s="10"/>
    </row>
    <row r="133" spans="2:23" s="9" customFormat="1" x14ac:dyDescent="0.2">
      <c r="B133" s="8" t="s">
        <v>189</v>
      </c>
      <c r="C133" s="10"/>
      <c r="D133" s="10">
        <v>5.98</v>
      </c>
      <c r="E133" s="10">
        <v>5.99</v>
      </c>
      <c r="F133" s="10">
        <v>10</v>
      </c>
      <c r="G133" s="10">
        <v>9</v>
      </c>
      <c r="H133" s="10">
        <v>6.5</v>
      </c>
      <c r="I133" s="10">
        <v>5</v>
      </c>
      <c r="J133" s="10">
        <v>5</v>
      </c>
      <c r="K133" s="10">
        <v>5.25</v>
      </c>
      <c r="L133" s="10">
        <v>4</v>
      </c>
      <c r="M133" s="10">
        <v>1.75</v>
      </c>
      <c r="N133" s="10">
        <v>2.5</v>
      </c>
      <c r="O133" s="10">
        <v>5</v>
      </c>
      <c r="P133" s="10">
        <v>5</v>
      </c>
      <c r="Q133" s="10">
        <v>1.25</v>
      </c>
      <c r="R133" s="10">
        <v>0.75</v>
      </c>
      <c r="S133" s="10">
        <v>4</v>
      </c>
      <c r="T133" s="10">
        <v>7.5</v>
      </c>
      <c r="U133" s="10">
        <v>4.75</v>
      </c>
      <c r="V133" s="10">
        <v>4</v>
      </c>
      <c r="W133" s="10"/>
    </row>
    <row r="134" spans="2:23" s="9" customFormat="1" x14ac:dyDescent="0.2">
      <c r="B134" s="8" t="s">
        <v>190</v>
      </c>
      <c r="C134" s="10">
        <v>8.51</v>
      </c>
      <c r="D134" s="10">
        <v>5.98</v>
      </c>
      <c r="E134" s="10">
        <v>5.99</v>
      </c>
      <c r="F134" s="10">
        <v>10</v>
      </c>
      <c r="G134" s="10">
        <v>9</v>
      </c>
      <c r="H134" s="10">
        <v>6.5</v>
      </c>
      <c r="I134" s="10">
        <v>5</v>
      </c>
      <c r="J134" s="10">
        <v>5</v>
      </c>
      <c r="K134" s="10">
        <v>5.25</v>
      </c>
      <c r="L134" s="10">
        <v>4</v>
      </c>
      <c r="M134" s="10">
        <v>1.75</v>
      </c>
      <c r="N134" s="10">
        <v>2.5</v>
      </c>
      <c r="O134" s="10">
        <v>5</v>
      </c>
      <c r="P134" s="10">
        <v>5</v>
      </c>
      <c r="Q134" s="10">
        <v>1.25</v>
      </c>
      <c r="R134" s="10">
        <v>0.75</v>
      </c>
      <c r="S134" s="10">
        <v>4</v>
      </c>
      <c r="T134" s="10">
        <v>7.5</v>
      </c>
      <c r="U134" s="10">
        <v>4.75</v>
      </c>
      <c r="V134" s="10">
        <v>4</v>
      </c>
      <c r="W134" s="10"/>
    </row>
    <row r="135" spans="2:23" s="9" customFormat="1" x14ac:dyDescent="0.2">
      <c r="B135" s="8" t="s">
        <v>191</v>
      </c>
      <c r="C135" s="10">
        <v>8.51</v>
      </c>
      <c r="D135" s="10">
        <v>5.98</v>
      </c>
      <c r="E135" s="10">
        <v>5.99</v>
      </c>
      <c r="F135" s="10">
        <v>10</v>
      </c>
      <c r="G135" s="10">
        <v>9</v>
      </c>
      <c r="H135" s="10">
        <v>6.5</v>
      </c>
      <c r="I135" s="10">
        <v>5</v>
      </c>
      <c r="J135" s="10">
        <v>5</v>
      </c>
      <c r="K135" s="10">
        <v>5.25</v>
      </c>
      <c r="L135" s="10">
        <v>4</v>
      </c>
      <c r="M135" s="10">
        <v>1.75</v>
      </c>
      <c r="N135" s="10">
        <v>2.5</v>
      </c>
      <c r="O135" s="10">
        <v>5</v>
      </c>
      <c r="P135" s="10">
        <v>5</v>
      </c>
      <c r="Q135" s="10">
        <v>1.25</v>
      </c>
      <c r="R135" s="10">
        <v>0.75</v>
      </c>
      <c r="S135" s="10">
        <v>4</v>
      </c>
      <c r="T135" s="10">
        <v>7.5</v>
      </c>
      <c r="U135" s="10">
        <v>4.75</v>
      </c>
      <c r="V135" s="10">
        <v>4</v>
      </c>
      <c r="W135" s="10"/>
    </row>
    <row r="136" spans="2:23" s="9" customFormat="1" x14ac:dyDescent="0.2">
      <c r="B136" s="8" t="s">
        <v>192</v>
      </c>
      <c r="C136" s="10">
        <v>8.51</v>
      </c>
      <c r="D136" s="10">
        <v>5.98</v>
      </c>
      <c r="E136" s="10"/>
      <c r="F136" s="10">
        <v>10</v>
      </c>
      <c r="G136" s="10">
        <v>9</v>
      </c>
      <c r="H136" s="10">
        <v>6.5</v>
      </c>
      <c r="I136" s="10">
        <v>5</v>
      </c>
      <c r="J136" s="10">
        <v>5</v>
      </c>
      <c r="K136" s="10">
        <v>5.25</v>
      </c>
      <c r="L136" s="10">
        <v>4</v>
      </c>
      <c r="M136" s="10">
        <v>1.75</v>
      </c>
      <c r="N136" s="10">
        <v>2.5</v>
      </c>
      <c r="O136" s="10">
        <v>5</v>
      </c>
      <c r="P136" s="10">
        <v>5</v>
      </c>
      <c r="Q136" s="10">
        <v>1.25</v>
      </c>
      <c r="R136" s="10">
        <v>0.75</v>
      </c>
      <c r="S136" s="10">
        <v>4</v>
      </c>
      <c r="T136" s="10">
        <v>7.5</v>
      </c>
      <c r="U136" s="10">
        <v>4.75</v>
      </c>
      <c r="V136" s="10">
        <v>4</v>
      </c>
      <c r="W136" s="10"/>
    </row>
    <row r="137" spans="2:23" s="9" customFormat="1" x14ac:dyDescent="0.2">
      <c r="B137" s="8" t="s">
        <v>193</v>
      </c>
      <c r="C137" s="10">
        <v>8.51</v>
      </c>
      <c r="D137" s="10">
        <v>5.98</v>
      </c>
      <c r="E137" s="10"/>
      <c r="F137" s="10">
        <v>10</v>
      </c>
      <c r="G137" s="10">
        <v>9</v>
      </c>
      <c r="H137" s="10">
        <v>6.5</v>
      </c>
      <c r="I137" s="10">
        <v>5</v>
      </c>
      <c r="J137" s="10">
        <v>5</v>
      </c>
      <c r="K137" s="10">
        <v>5.25</v>
      </c>
      <c r="L137" s="10">
        <v>4</v>
      </c>
      <c r="M137" s="10">
        <v>1.75</v>
      </c>
      <c r="N137" s="10">
        <v>2.5</v>
      </c>
      <c r="O137" s="10">
        <v>5</v>
      </c>
      <c r="P137" s="10">
        <v>5</v>
      </c>
      <c r="Q137" s="10">
        <v>1.25</v>
      </c>
      <c r="R137" s="10">
        <v>0.75</v>
      </c>
      <c r="S137" s="10">
        <v>4</v>
      </c>
      <c r="T137" s="10">
        <v>7.5</v>
      </c>
      <c r="U137" s="10">
        <v>4.75</v>
      </c>
      <c r="V137" s="10">
        <v>4</v>
      </c>
      <c r="W137" s="10"/>
    </row>
    <row r="138" spans="2:23" s="9" customFormat="1" x14ac:dyDescent="0.2">
      <c r="B138" s="8" t="s">
        <v>194</v>
      </c>
      <c r="C138" s="10">
        <v>8.51</v>
      </c>
      <c r="D138" s="10"/>
      <c r="E138" s="10">
        <v>5.99</v>
      </c>
      <c r="F138" s="10">
        <v>10</v>
      </c>
      <c r="G138" s="10">
        <v>9</v>
      </c>
      <c r="H138" s="10">
        <v>6.5</v>
      </c>
      <c r="I138" s="10">
        <v>5</v>
      </c>
      <c r="J138" s="10">
        <v>5</v>
      </c>
      <c r="K138" s="10">
        <v>5.25</v>
      </c>
      <c r="L138" s="10">
        <v>4</v>
      </c>
      <c r="M138" s="10">
        <v>1.75</v>
      </c>
      <c r="N138" s="10">
        <v>2.5</v>
      </c>
      <c r="O138" s="10">
        <v>5</v>
      </c>
      <c r="P138" s="10">
        <v>5</v>
      </c>
      <c r="Q138" s="10">
        <v>1.25</v>
      </c>
      <c r="R138" s="10">
        <v>0.75</v>
      </c>
      <c r="S138" s="10">
        <v>4</v>
      </c>
      <c r="T138" s="10">
        <v>7.5</v>
      </c>
      <c r="U138" s="10">
        <v>4.75</v>
      </c>
      <c r="V138" s="10">
        <v>4</v>
      </c>
      <c r="W138" s="10"/>
    </row>
    <row r="139" spans="2:23" s="9" customFormat="1" x14ac:dyDescent="0.2">
      <c r="B139" s="8" t="s">
        <v>195</v>
      </c>
      <c r="C139" s="10"/>
      <c r="D139" s="10"/>
      <c r="E139" s="10">
        <v>5.99</v>
      </c>
      <c r="F139" s="10">
        <v>10</v>
      </c>
      <c r="G139" s="10">
        <v>9</v>
      </c>
      <c r="H139" s="10">
        <v>6.5</v>
      </c>
      <c r="I139" s="10">
        <v>5</v>
      </c>
      <c r="J139" s="10">
        <v>5</v>
      </c>
      <c r="K139" s="10">
        <v>5.25</v>
      </c>
      <c r="L139" s="10">
        <v>4</v>
      </c>
      <c r="M139" s="10">
        <v>1.75</v>
      </c>
      <c r="N139" s="10">
        <v>2.5</v>
      </c>
      <c r="O139" s="10">
        <v>5</v>
      </c>
      <c r="P139" s="10">
        <v>5</v>
      </c>
      <c r="Q139" s="10">
        <v>1.25</v>
      </c>
      <c r="R139" s="10">
        <v>0.75</v>
      </c>
      <c r="S139" s="10">
        <v>4</v>
      </c>
      <c r="T139" s="10">
        <v>7.5</v>
      </c>
      <c r="U139" s="10">
        <v>4.75</v>
      </c>
      <c r="V139" s="10">
        <v>4</v>
      </c>
      <c r="W139" s="10"/>
    </row>
    <row r="140" spans="2:23" s="9" customFormat="1" x14ac:dyDescent="0.2">
      <c r="B140" s="8" t="s">
        <v>196</v>
      </c>
      <c r="C140" s="10"/>
      <c r="D140" s="10">
        <v>5.98</v>
      </c>
      <c r="E140" s="10">
        <v>5.99</v>
      </c>
      <c r="F140" s="10">
        <v>10</v>
      </c>
      <c r="G140" s="10">
        <v>9</v>
      </c>
      <c r="H140" s="10">
        <v>6.5</v>
      </c>
      <c r="I140" s="10">
        <v>5</v>
      </c>
      <c r="J140" s="10">
        <v>5</v>
      </c>
      <c r="K140" s="10">
        <v>5.25</v>
      </c>
      <c r="L140" s="10">
        <v>4</v>
      </c>
      <c r="M140" s="10">
        <v>1.75</v>
      </c>
      <c r="N140" s="10">
        <v>2.5</v>
      </c>
      <c r="O140" s="10">
        <v>5</v>
      </c>
      <c r="P140" s="10">
        <v>5</v>
      </c>
      <c r="Q140" s="10">
        <v>1.25</v>
      </c>
      <c r="R140" s="10">
        <v>0.75</v>
      </c>
      <c r="S140" s="10">
        <v>4</v>
      </c>
      <c r="T140" s="10">
        <v>7.5</v>
      </c>
      <c r="U140" s="10">
        <v>4.75</v>
      </c>
      <c r="V140" s="10">
        <v>4</v>
      </c>
      <c r="W140" s="10"/>
    </row>
    <row r="141" spans="2:23" s="9" customFormat="1" x14ac:dyDescent="0.2">
      <c r="B141" s="8" t="s">
        <v>197</v>
      </c>
      <c r="C141" s="10">
        <v>8.51</v>
      </c>
      <c r="D141" s="10">
        <v>5.98</v>
      </c>
      <c r="E141" s="10">
        <v>5.99</v>
      </c>
      <c r="F141" s="10">
        <v>10</v>
      </c>
      <c r="G141" s="10">
        <v>9</v>
      </c>
      <c r="H141" s="10">
        <v>6.5</v>
      </c>
      <c r="I141" s="10">
        <v>5</v>
      </c>
      <c r="J141" s="10">
        <v>5</v>
      </c>
      <c r="K141" s="10">
        <v>5.25</v>
      </c>
      <c r="L141" s="10">
        <v>4</v>
      </c>
      <c r="M141" s="10">
        <v>1.75</v>
      </c>
      <c r="N141" s="10">
        <v>2.5</v>
      </c>
      <c r="O141" s="10">
        <v>5</v>
      </c>
      <c r="P141" s="10">
        <v>5</v>
      </c>
      <c r="Q141" s="10">
        <v>1.25</v>
      </c>
      <c r="R141" s="10">
        <v>0.75</v>
      </c>
      <c r="S141" s="10">
        <v>4</v>
      </c>
      <c r="T141" s="10">
        <v>7.5</v>
      </c>
      <c r="U141" s="10">
        <v>4.75</v>
      </c>
      <c r="V141" s="10">
        <v>4</v>
      </c>
      <c r="W141" s="10"/>
    </row>
    <row r="142" spans="2:23" s="9" customFormat="1" x14ac:dyDescent="0.2">
      <c r="B142" s="8" t="s">
        <v>198</v>
      </c>
      <c r="C142" s="10">
        <v>8.51</v>
      </c>
      <c r="D142" s="10">
        <v>5.98</v>
      </c>
      <c r="E142" s="10">
        <v>5.99</v>
      </c>
      <c r="F142" s="10">
        <v>10</v>
      </c>
      <c r="G142" s="10">
        <v>9</v>
      </c>
      <c r="H142" s="10">
        <v>6.5</v>
      </c>
      <c r="I142" s="10">
        <v>5</v>
      </c>
      <c r="J142" s="10">
        <v>5</v>
      </c>
      <c r="K142" s="10">
        <v>5.25</v>
      </c>
      <c r="L142" s="10">
        <v>4</v>
      </c>
      <c r="M142" s="10">
        <v>1.75</v>
      </c>
      <c r="N142" s="10">
        <v>2.5</v>
      </c>
      <c r="O142" s="10">
        <v>5</v>
      </c>
      <c r="P142" s="10">
        <v>5</v>
      </c>
      <c r="Q142" s="10">
        <v>1.25</v>
      </c>
      <c r="R142" s="10">
        <v>0.75</v>
      </c>
      <c r="S142" s="10">
        <v>4</v>
      </c>
      <c r="T142" s="10">
        <v>7.5</v>
      </c>
      <c r="U142" s="10">
        <v>4.75</v>
      </c>
      <c r="V142" s="10">
        <v>4</v>
      </c>
      <c r="W142" s="10"/>
    </row>
    <row r="143" spans="2:23" s="9" customFormat="1" x14ac:dyDescent="0.2">
      <c r="B143" s="8" t="s">
        <v>199</v>
      </c>
      <c r="C143" s="10">
        <v>8.51</v>
      </c>
      <c r="D143" s="10">
        <v>5.98</v>
      </c>
      <c r="E143" s="10"/>
      <c r="F143" s="10">
        <v>10</v>
      </c>
      <c r="G143" s="10">
        <v>9</v>
      </c>
      <c r="H143" s="10">
        <v>6.5</v>
      </c>
      <c r="I143" s="10">
        <v>5</v>
      </c>
      <c r="J143" s="10">
        <v>5</v>
      </c>
      <c r="K143" s="10">
        <v>5.25</v>
      </c>
      <c r="L143" s="10">
        <v>4</v>
      </c>
      <c r="M143" s="10">
        <v>1.75</v>
      </c>
      <c r="N143" s="10">
        <v>2.5</v>
      </c>
      <c r="O143" s="10">
        <v>5</v>
      </c>
      <c r="P143" s="10">
        <v>5</v>
      </c>
      <c r="Q143" s="10">
        <v>1.25</v>
      </c>
      <c r="R143" s="10">
        <v>0.75</v>
      </c>
      <c r="S143" s="10">
        <v>4</v>
      </c>
      <c r="T143" s="10">
        <v>7.5</v>
      </c>
      <c r="U143" s="10">
        <v>4.75</v>
      </c>
      <c r="V143" s="10">
        <v>4</v>
      </c>
      <c r="W143" s="10"/>
    </row>
    <row r="144" spans="2:23" s="9" customFormat="1" x14ac:dyDescent="0.2">
      <c r="B144" s="8" t="s">
        <v>200</v>
      </c>
      <c r="C144" s="10">
        <v>8.51</v>
      </c>
      <c r="D144" s="10">
        <v>5.98</v>
      </c>
      <c r="E144" s="10"/>
      <c r="F144" s="10">
        <v>10</v>
      </c>
      <c r="G144" s="10">
        <v>9</v>
      </c>
      <c r="H144" s="10">
        <v>6.5</v>
      </c>
      <c r="I144" s="10">
        <v>5</v>
      </c>
      <c r="J144" s="10">
        <v>5</v>
      </c>
      <c r="K144" s="10">
        <v>5.25</v>
      </c>
      <c r="L144" s="10">
        <v>4</v>
      </c>
      <c r="M144" s="10">
        <v>1.75</v>
      </c>
      <c r="N144" s="10">
        <v>2.5</v>
      </c>
      <c r="O144" s="10">
        <v>5</v>
      </c>
      <c r="P144" s="10">
        <v>5</v>
      </c>
      <c r="Q144" s="10">
        <v>1.25</v>
      </c>
      <c r="R144" s="10">
        <v>0.75</v>
      </c>
      <c r="S144" s="10">
        <v>4</v>
      </c>
      <c r="T144" s="10">
        <v>7.5</v>
      </c>
      <c r="U144" s="10">
        <v>4.75</v>
      </c>
      <c r="V144" s="10">
        <v>4</v>
      </c>
      <c r="W144" s="10"/>
    </row>
    <row r="145" spans="2:23" s="9" customFormat="1" x14ac:dyDescent="0.2">
      <c r="B145" s="8" t="s">
        <v>201</v>
      </c>
      <c r="C145" s="10">
        <v>8.51</v>
      </c>
      <c r="D145" s="10"/>
      <c r="E145" s="10">
        <v>5.99</v>
      </c>
      <c r="F145" s="10">
        <v>10</v>
      </c>
      <c r="G145" s="10">
        <v>9</v>
      </c>
      <c r="H145" s="10">
        <v>6.5</v>
      </c>
      <c r="I145" s="10">
        <v>5</v>
      </c>
      <c r="J145" s="10">
        <v>5</v>
      </c>
      <c r="K145" s="10">
        <v>5.25</v>
      </c>
      <c r="L145" s="10">
        <v>4</v>
      </c>
      <c r="M145" s="10">
        <v>1.75</v>
      </c>
      <c r="N145" s="10">
        <v>3</v>
      </c>
      <c r="O145" s="10">
        <v>5</v>
      </c>
      <c r="P145" s="10">
        <v>5</v>
      </c>
      <c r="Q145" s="10">
        <v>1.25</v>
      </c>
      <c r="R145" s="10">
        <v>0.75</v>
      </c>
      <c r="S145" s="10">
        <v>4</v>
      </c>
      <c r="T145" s="10">
        <v>7.5</v>
      </c>
      <c r="U145" s="10">
        <v>4.75</v>
      </c>
      <c r="V145" s="10">
        <v>4</v>
      </c>
      <c r="W145" s="10"/>
    </row>
    <row r="146" spans="2:23" s="9" customFormat="1" x14ac:dyDescent="0.2">
      <c r="B146" s="8" t="s">
        <v>202</v>
      </c>
      <c r="C146" s="10"/>
      <c r="D146" s="10"/>
      <c r="E146" s="10">
        <v>5.99</v>
      </c>
      <c r="F146" s="10">
        <v>10</v>
      </c>
      <c r="G146" s="10">
        <v>9</v>
      </c>
      <c r="H146" s="10">
        <v>6.5</v>
      </c>
      <c r="I146" s="10">
        <v>5</v>
      </c>
      <c r="J146" s="10">
        <v>5</v>
      </c>
      <c r="K146" s="10">
        <v>5.25</v>
      </c>
      <c r="L146" s="10">
        <v>4</v>
      </c>
      <c r="M146" s="10">
        <v>1.75</v>
      </c>
      <c r="N146" s="10">
        <v>3</v>
      </c>
      <c r="O146" s="10">
        <v>5</v>
      </c>
      <c r="P146" s="10">
        <v>5</v>
      </c>
      <c r="Q146" s="10">
        <v>1.25</v>
      </c>
      <c r="R146" s="10">
        <v>0.75</v>
      </c>
      <c r="S146" s="10">
        <v>4</v>
      </c>
      <c r="T146" s="10">
        <v>7.5</v>
      </c>
      <c r="U146" s="10">
        <v>4.75</v>
      </c>
      <c r="V146" s="10">
        <v>4</v>
      </c>
      <c r="W146" s="10"/>
    </row>
    <row r="147" spans="2:23" s="9" customFormat="1" x14ac:dyDescent="0.2">
      <c r="B147" s="8" t="s">
        <v>203</v>
      </c>
      <c r="C147" s="10"/>
      <c r="D147" s="10">
        <v>5.98</v>
      </c>
      <c r="E147" s="10">
        <v>5.99</v>
      </c>
      <c r="F147" s="10">
        <v>10</v>
      </c>
      <c r="G147" s="10">
        <v>9</v>
      </c>
      <c r="H147" s="10">
        <v>6.5</v>
      </c>
      <c r="I147" s="10">
        <v>5</v>
      </c>
      <c r="J147" s="10">
        <v>5</v>
      </c>
      <c r="K147" s="10">
        <v>5.25</v>
      </c>
      <c r="L147" s="10">
        <v>3.75</v>
      </c>
      <c r="M147" s="10">
        <v>1.75</v>
      </c>
      <c r="N147" s="10">
        <v>3</v>
      </c>
      <c r="O147" s="10">
        <v>5</v>
      </c>
      <c r="P147" s="10">
        <v>5</v>
      </c>
      <c r="Q147" s="10">
        <v>1.25</v>
      </c>
      <c r="R147" s="10">
        <v>0.75</v>
      </c>
      <c r="S147" s="10">
        <v>4</v>
      </c>
      <c r="T147" s="10">
        <v>7.5</v>
      </c>
      <c r="U147" s="10">
        <v>4.75</v>
      </c>
      <c r="V147" s="10">
        <v>4</v>
      </c>
      <c r="W147" s="10"/>
    </row>
    <row r="148" spans="2:23" s="9" customFormat="1" x14ac:dyDescent="0.2">
      <c r="B148" s="8" t="s">
        <v>204</v>
      </c>
      <c r="C148" s="10">
        <v>8.51</v>
      </c>
      <c r="D148" s="10">
        <v>5.98</v>
      </c>
      <c r="E148" s="10">
        <v>5.99</v>
      </c>
      <c r="F148" s="10">
        <v>10</v>
      </c>
      <c r="G148" s="10">
        <v>9</v>
      </c>
      <c r="H148" s="10">
        <v>6.5</v>
      </c>
      <c r="I148" s="10">
        <v>5</v>
      </c>
      <c r="J148" s="10">
        <v>5</v>
      </c>
      <c r="K148" s="10">
        <v>5.25</v>
      </c>
      <c r="L148" s="10">
        <v>3.75</v>
      </c>
      <c r="M148" s="10">
        <v>1.75</v>
      </c>
      <c r="N148" s="10">
        <v>3</v>
      </c>
      <c r="O148" s="10">
        <v>5</v>
      </c>
      <c r="P148" s="10">
        <v>5</v>
      </c>
      <c r="Q148" s="10">
        <v>1.25</v>
      </c>
      <c r="R148" s="10">
        <v>0.75</v>
      </c>
      <c r="S148" s="10">
        <v>4</v>
      </c>
      <c r="T148" s="10">
        <v>7.5</v>
      </c>
      <c r="U148" s="10">
        <v>4.75</v>
      </c>
      <c r="V148" s="10">
        <v>4</v>
      </c>
      <c r="W148" s="10"/>
    </row>
    <row r="149" spans="2:23" s="9" customFormat="1" x14ac:dyDescent="0.2">
      <c r="B149" s="8" t="s">
        <v>205</v>
      </c>
      <c r="C149" s="10">
        <v>8.51</v>
      </c>
      <c r="D149" s="10">
        <v>5.98</v>
      </c>
      <c r="E149" s="10">
        <v>5.99</v>
      </c>
      <c r="F149" s="10">
        <v>10</v>
      </c>
      <c r="G149" s="10">
        <v>9</v>
      </c>
      <c r="H149" s="10">
        <v>6.5</v>
      </c>
      <c r="I149" s="10">
        <v>5</v>
      </c>
      <c r="J149" s="10">
        <v>5</v>
      </c>
      <c r="K149" s="10">
        <v>5.25</v>
      </c>
      <c r="L149" s="10">
        <v>3.75</v>
      </c>
      <c r="M149" s="10">
        <v>1.75</v>
      </c>
      <c r="N149" s="10">
        <v>3</v>
      </c>
      <c r="O149" s="10">
        <v>5</v>
      </c>
      <c r="P149" s="10">
        <v>4.75</v>
      </c>
      <c r="Q149" s="10">
        <v>1.25</v>
      </c>
      <c r="R149" s="10">
        <v>0.75</v>
      </c>
      <c r="S149" s="10">
        <v>4</v>
      </c>
      <c r="T149" s="10">
        <v>7.5</v>
      </c>
      <c r="U149" s="10">
        <v>4.75</v>
      </c>
      <c r="V149" s="10">
        <v>4</v>
      </c>
      <c r="W149" s="10"/>
    </row>
    <row r="150" spans="2:23" s="9" customFormat="1" x14ac:dyDescent="0.2">
      <c r="B150" s="8" t="s">
        <v>206</v>
      </c>
      <c r="C150" s="10">
        <v>8.51</v>
      </c>
      <c r="D150" s="10">
        <v>5.98</v>
      </c>
      <c r="E150" s="10">
        <v>5.99</v>
      </c>
      <c r="F150" s="10">
        <v>10</v>
      </c>
      <c r="G150" s="10">
        <v>9</v>
      </c>
      <c r="H150" s="10">
        <v>6.5</v>
      </c>
      <c r="I150" s="10">
        <v>5</v>
      </c>
      <c r="J150" s="10">
        <v>5</v>
      </c>
      <c r="K150" s="10">
        <v>5.25</v>
      </c>
      <c r="L150" s="10">
        <v>3.75</v>
      </c>
      <c r="M150" s="10">
        <v>1.75</v>
      </c>
      <c r="N150" s="10">
        <v>3</v>
      </c>
      <c r="O150" s="10">
        <v>5</v>
      </c>
      <c r="P150" s="10">
        <v>4.75</v>
      </c>
      <c r="Q150" s="10">
        <v>1.25</v>
      </c>
      <c r="R150" s="10">
        <v>0.75</v>
      </c>
      <c r="S150" s="10">
        <v>4</v>
      </c>
      <c r="T150" s="10">
        <v>7.5</v>
      </c>
      <c r="U150" s="10">
        <v>4.75</v>
      </c>
      <c r="V150" s="10">
        <v>4</v>
      </c>
      <c r="W150" s="10"/>
    </row>
    <row r="151" spans="2:23" s="9" customFormat="1" x14ac:dyDescent="0.2">
      <c r="B151" s="8" t="s">
        <v>207</v>
      </c>
      <c r="C151" s="10">
        <v>8.51</v>
      </c>
      <c r="D151" s="10">
        <v>5.98</v>
      </c>
      <c r="E151" s="10">
        <v>5.99</v>
      </c>
      <c r="F151" s="10">
        <v>10</v>
      </c>
      <c r="G151" s="10">
        <v>9</v>
      </c>
      <c r="H151" s="10">
        <v>6.5</v>
      </c>
      <c r="I151" s="10">
        <v>5</v>
      </c>
      <c r="J151" s="10">
        <v>5</v>
      </c>
      <c r="K151" s="10">
        <v>5.25</v>
      </c>
      <c r="L151" s="10">
        <v>3.75</v>
      </c>
      <c r="M151" s="10">
        <v>1.75</v>
      </c>
      <c r="N151" s="10">
        <v>4</v>
      </c>
      <c r="O151" s="10">
        <v>5</v>
      </c>
      <c r="P151" s="10">
        <v>4.75</v>
      </c>
      <c r="Q151" s="10">
        <v>1.25</v>
      </c>
      <c r="R151" s="10">
        <v>0.75</v>
      </c>
      <c r="S151" s="10">
        <v>4</v>
      </c>
      <c r="T151" s="10">
        <v>7.5</v>
      </c>
      <c r="U151" s="10">
        <v>4.75</v>
      </c>
      <c r="V151" s="10">
        <v>4</v>
      </c>
      <c r="W151" s="10"/>
    </row>
    <row r="152" spans="2:23" s="9" customFormat="1" x14ac:dyDescent="0.2">
      <c r="B152" s="8" t="s">
        <v>208</v>
      </c>
      <c r="C152" s="10">
        <v>8.51</v>
      </c>
      <c r="D152" s="10"/>
      <c r="E152" s="10">
        <v>5.99</v>
      </c>
      <c r="F152" s="10">
        <v>10</v>
      </c>
      <c r="G152" s="10">
        <v>9</v>
      </c>
      <c r="H152" s="10">
        <v>6.5</v>
      </c>
      <c r="I152" s="10">
        <v>5</v>
      </c>
      <c r="J152" s="10">
        <v>5</v>
      </c>
      <c r="K152" s="10">
        <v>5.25</v>
      </c>
      <c r="L152" s="10">
        <v>3.75</v>
      </c>
      <c r="M152" s="10">
        <v>1.75</v>
      </c>
      <c r="N152" s="10">
        <v>4</v>
      </c>
      <c r="O152" s="10">
        <v>5</v>
      </c>
      <c r="P152" s="10">
        <v>4.75</v>
      </c>
      <c r="Q152" s="10">
        <v>1.25</v>
      </c>
      <c r="R152" s="10">
        <v>0.75</v>
      </c>
      <c r="S152" s="10">
        <v>4</v>
      </c>
      <c r="T152" s="10">
        <v>7.5</v>
      </c>
      <c r="U152" s="10">
        <v>4.75</v>
      </c>
      <c r="V152" s="10">
        <v>4</v>
      </c>
      <c r="W152" s="10"/>
    </row>
    <row r="153" spans="2:23" s="9" customFormat="1" x14ac:dyDescent="0.2">
      <c r="B153" s="8" t="s">
        <v>209</v>
      </c>
      <c r="C153" s="10"/>
      <c r="D153" s="10"/>
      <c r="E153" s="10">
        <v>5.99</v>
      </c>
      <c r="F153" s="10">
        <v>10</v>
      </c>
      <c r="G153" s="10">
        <v>9</v>
      </c>
      <c r="H153" s="10">
        <v>6.5</v>
      </c>
      <c r="I153" s="10">
        <v>5</v>
      </c>
      <c r="J153" s="10">
        <v>5</v>
      </c>
      <c r="K153" s="10">
        <v>5.25</v>
      </c>
      <c r="L153" s="10">
        <v>3.75</v>
      </c>
      <c r="M153" s="10">
        <v>1.75</v>
      </c>
      <c r="N153" s="10">
        <v>4</v>
      </c>
      <c r="O153" s="10">
        <v>5</v>
      </c>
      <c r="P153" s="10">
        <v>4.75</v>
      </c>
      <c r="Q153" s="10">
        <v>1.25</v>
      </c>
      <c r="R153" s="10">
        <v>0.75</v>
      </c>
      <c r="S153" s="10">
        <v>4</v>
      </c>
      <c r="T153" s="10">
        <v>7.5</v>
      </c>
      <c r="U153" s="10">
        <v>4.75</v>
      </c>
      <c r="V153" s="10">
        <v>4</v>
      </c>
      <c r="W153" s="10"/>
    </row>
    <row r="154" spans="2:23" s="9" customFormat="1" x14ac:dyDescent="0.2">
      <c r="B154" s="8" t="s">
        <v>210</v>
      </c>
      <c r="C154" s="10"/>
      <c r="D154" s="10">
        <v>5.98</v>
      </c>
      <c r="E154" s="10">
        <v>5.99</v>
      </c>
      <c r="F154" s="10">
        <v>10</v>
      </c>
      <c r="G154" s="10">
        <v>9</v>
      </c>
      <c r="H154" s="10">
        <v>6.5</v>
      </c>
      <c r="I154" s="10">
        <v>5</v>
      </c>
      <c r="J154" s="10">
        <v>5</v>
      </c>
      <c r="K154" s="10">
        <v>5.25</v>
      </c>
      <c r="L154" s="10">
        <v>3.75</v>
      </c>
      <c r="M154" s="10">
        <v>1.75</v>
      </c>
      <c r="N154" s="10">
        <v>4</v>
      </c>
      <c r="O154" s="10">
        <v>5</v>
      </c>
      <c r="P154" s="10">
        <v>4.75</v>
      </c>
      <c r="Q154" s="10">
        <v>1.25</v>
      </c>
      <c r="R154" s="10">
        <v>0.75</v>
      </c>
      <c r="S154" s="10">
        <v>4</v>
      </c>
      <c r="T154" s="10">
        <v>7.5</v>
      </c>
      <c r="U154" s="10">
        <v>4.75</v>
      </c>
      <c r="V154" s="10">
        <v>4</v>
      </c>
      <c r="W154" s="10"/>
    </row>
    <row r="155" spans="2:23" s="9" customFormat="1" x14ac:dyDescent="0.2">
      <c r="B155" s="8" t="s">
        <v>211</v>
      </c>
      <c r="C155" s="10">
        <v>8.51</v>
      </c>
      <c r="D155" s="10">
        <v>5.98</v>
      </c>
      <c r="E155" s="10">
        <v>7</v>
      </c>
      <c r="F155" s="10">
        <v>10</v>
      </c>
      <c r="G155" s="10">
        <v>9</v>
      </c>
      <c r="H155" s="10">
        <v>6.5</v>
      </c>
      <c r="I155" s="10">
        <v>5</v>
      </c>
      <c r="J155" s="10">
        <v>5</v>
      </c>
      <c r="K155" s="10">
        <v>5.25</v>
      </c>
      <c r="L155" s="10">
        <v>3.75</v>
      </c>
      <c r="M155" s="10">
        <v>1.75</v>
      </c>
      <c r="N155" s="10">
        <v>4</v>
      </c>
      <c r="O155" s="10">
        <v>5</v>
      </c>
      <c r="P155" s="10">
        <v>4.75</v>
      </c>
      <c r="Q155" s="10">
        <v>1.25</v>
      </c>
      <c r="R155" s="10">
        <v>0.75</v>
      </c>
      <c r="S155" s="10">
        <v>4</v>
      </c>
      <c r="T155" s="10">
        <v>7.5</v>
      </c>
      <c r="U155" s="10">
        <v>4.75</v>
      </c>
      <c r="V155" s="10">
        <v>4</v>
      </c>
      <c r="W155" s="10"/>
    </row>
    <row r="156" spans="2:23" s="9" customFormat="1" x14ac:dyDescent="0.2">
      <c r="B156" s="8" t="s">
        <v>212</v>
      </c>
      <c r="C156" s="10">
        <v>8.51</v>
      </c>
      <c r="D156" s="10">
        <v>5.98</v>
      </c>
      <c r="E156" s="10">
        <v>7</v>
      </c>
      <c r="F156" s="10">
        <v>10</v>
      </c>
      <c r="G156" s="10">
        <v>9</v>
      </c>
      <c r="H156" s="10">
        <v>6.5</v>
      </c>
      <c r="I156" s="10">
        <v>5</v>
      </c>
      <c r="J156" s="10">
        <v>5</v>
      </c>
      <c r="K156" s="10">
        <v>5.25</v>
      </c>
      <c r="L156" s="10">
        <v>3.75</v>
      </c>
      <c r="M156" s="10">
        <v>1.75</v>
      </c>
      <c r="N156" s="10">
        <v>4</v>
      </c>
      <c r="O156" s="10">
        <v>5</v>
      </c>
      <c r="P156" s="10">
        <v>4.75</v>
      </c>
      <c r="Q156" s="10">
        <v>1.25</v>
      </c>
      <c r="R156" s="10">
        <v>0.75</v>
      </c>
      <c r="S156" s="10">
        <v>4</v>
      </c>
      <c r="T156" s="10">
        <v>7.5</v>
      </c>
      <c r="U156" s="10">
        <v>4.75</v>
      </c>
      <c r="V156" s="10">
        <v>4</v>
      </c>
      <c r="W156" s="10"/>
    </row>
    <row r="157" spans="2:23" x14ac:dyDescent="0.2">
      <c r="B157" s="21" t="s">
        <v>213</v>
      </c>
      <c r="C157" s="12">
        <v>8.51</v>
      </c>
      <c r="D157" s="12">
        <v>5.98</v>
      </c>
      <c r="E157" s="12">
        <v>7</v>
      </c>
      <c r="F157" s="12">
        <v>10</v>
      </c>
      <c r="G157" s="12">
        <v>9</v>
      </c>
      <c r="H157" s="12">
        <v>6.5</v>
      </c>
      <c r="I157" s="12">
        <v>5</v>
      </c>
      <c r="J157" s="12">
        <v>5</v>
      </c>
      <c r="K157" s="12">
        <v>5.25</v>
      </c>
      <c r="L157" s="12">
        <v>3.75</v>
      </c>
      <c r="M157" s="12">
        <v>1.75</v>
      </c>
      <c r="N157" s="12">
        <v>4</v>
      </c>
      <c r="O157" s="12">
        <v>5</v>
      </c>
      <c r="P157" s="12">
        <v>4.75</v>
      </c>
      <c r="Q157" s="12">
        <v>1.25</v>
      </c>
      <c r="R157" s="12">
        <v>0.75</v>
      </c>
      <c r="S157" s="12">
        <v>4</v>
      </c>
      <c r="T157" s="12">
        <v>7.5</v>
      </c>
      <c r="U157" s="22">
        <v>4.75</v>
      </c>
      <c r="V157" s="22">
        <v>4</v>
      </c>
      <c r="W157" s="23"/>
    </row>
    <row r="158" spans="2:23" s="9" customFormat="1" x14ac:dyDescent="0.2">
      <c r="B158" s="8" t="s">
        <v>214</v>
      </c>
      <c r="C158" s="10">
        <v>8.51</v>
      </c>
      <c r="D158" s="10">
        <v>5.98</v>
      </c>
      <c r="E158" s="10">
        <v>7</v>
      </c>
      <c r="F158" s="10">
        <v>10</v>
      </c>
      <c r="G158" s="10">
        <v>9</v>
      </c>
      <c r="H158" s="10">
        <v>6.5</v>
      </c>
      <c r="I158" s="10">
        <v>5</v>
      </c>
      <c r="J158" s="10">
        <v>5</v>
      </c>
      <c r="K158" s="10">
        <v>5.25</v>
      </c>
      <c r="L158" s="10">
        <v>3.75</v>
      </c>
      <c r="M158" s="10">
        <v>1.75</v>
      </c>
      <c r="N158" s="10">
        <v>4</v>
      </c>
      <c r="O158" s="10">
        <v>5</v>
      </c>
      <c r="P158" s="10">
        <v>4.75</v>
      </c>
      <c r="Q158" s="10">
        <v>1.25</v>
      </c>
      <c r="R158" s="10">
        <v>0.75</v>
      </c>
      <c r="S158" s="10">
        <v>4</v>
      </c>
      <c r="T158" s="10">
        <v>7.5</v>
      </c>
      <c r="U158" s="10">
        <v>4.75</v>
      </c>
      <c r="V158" s="10">
        <v>4</v>
      </c>
      <c r="W158" s="10"/>
    </row>
    <row r="159" spans="2:23" s="9" customFormat="1" x14ac:dyDescent="0.2">
      <c r="B159" s="8" t="s">
        <v>215</v>
      </c>
      <c r="C159" s="10">
        <v>8.51</v>
      </c>
      <c r="D159" s="10"/>
      <c r="E159" s="10">
        <v>7</v>
      </c>
      <c r="F159" s="10">
        <v>10</v>
      </c>
      <c r="G159" s="10">
        <v>9</v>
      </c>
      <c r="H159" s="10">
        <v>6.5</v>
      </c>
      <c r="I159" s="10">
        <v>5</v>
      </c>
      <c r="J159" s="10">
        <v>5</v>
      </c>
      <c r="K159" s="10">
        <v>5.25</v>
      </c>
      <c r="L159" s="10">
        <v>3.75</v>
      </c>
      <c r="M159" s="10">
        <v>1.75</v>
      </c>
      <c r="N159" s="10">
        <v>4</v>
      </c>
      <c r="O159" s="10">
        <v>5</v>
      </c>
      <c r="P159" s="10">
        <v>4.75</v>
      </c>
      <c r="Q159" s="10">
        <v>1.25</v>
      </c>
      <c r="R159" s="10">
        <v>0.75</v>
      </c>
      <c r="S159" s="10">
        <v>4</v>
      </c>
      <c r="T159" s="10">
        <v>7.5</v>
      </c>
      <c r="U159" s="10">
        <v>4.75</v>
      </c>
      <c r="V159" s="10">
        <v>4</v>
      </c>
      <c r="W159" s="10"/>
    </row>
    <row r="160" spans="2:23" s="9" customFormat="1" x14ac:dyDescent="0.2">
      <c r="B160" s="8" t="s">
        <v>216</v>
      </c>
      <c r="C160" s="10"/>
      <c r="D160" s="10"/>
      <c r="E160" s="10">
        <v>7</v>
      </c>
      <c r="F160" s="10">
        <v>10</v>
      </c>
      <c r="G160" s="10">
        <v>9</v>
      </c>
      <c r="H160" s="10">
        <v>6.5</v>
      </c>
      <c r="I160" s="10">
        <v>5</v>
      </c>
      <c r="J160" s="10">
        <v>5</v>
      </c>
      <c r="K160" s="10">
        <v>5.25</v>
      </c>
      <c r="L160" s="10">
        <v>3.75</v>
      </c>
      <c r="M160" s="10">
        <v>1.75</v>
      </c>
      <c r="N160" s="10">
        <v>4</v>
      </c>
      <c r="O160" s="10">
        <v>5</v>
      </c>
      <c r="P160" s="10">
        <v>4.75</v>
      </c>
      <c r="Q160" s="10">
        <v>1.25</v>
      </c>
      <c r="R160" s="10">
        <v>0.75</v>
      </c>
      <c r="S160" s="10">
        <v>4</v>
      </c>
      <c r="T160" s="10">
        <v>7.5</v>
      </c>
      <c r="U160" s="10">
        <v>4.75</v>
      </c>
      <c r="V160" s="10">
        <v>4</v>
      </c>
      <c r="W160" s="10"/>
    </row>
    <row r="161" spans="2:23" s="9" customFormat="1" x14ac:dyDescent="0.2">
      <c r="B161" s="8" t="s">
        <v>217</v>
      </c>
      <c r="C161" s="10"/>
      <c r="D161" s="10">
        <v>5.98</v>
      </c>
      <c r="E161" s="10">
        <v>7</v>
      </c>
      <c r="F161" s="10">
        <v>10</v>
      </c>
      <c r="G161" s="10">
        <v>9</v>
      </c>
      <c r="H161" s="10">
        <v>5</v>
      </c>
      <c r="I161" s="10">
        <v>5</v>
      </c>
      <c r="J161" s="10">
        <v>5</v>
      </c>
      <c r="K161" s="10">
        <v>5.25</v>
      </c>
      <c r="L161" s="10">
        <v>3.75</v>
      </c>
      <c r="M161" s="10">
        <v>1.75</v>
      </c>
      <c r="N161" s="10">
        <v>4</v>
      </c>
      <c r="O161" s="10">
        <v>5</v>
      </c>
      <c r="P161" s="10">
        <v>4.75</v>
      </c>
      <c r="Q161" s="10">
        <v>1.25</v>
      </c>
      <c r="R161" s="10">
        <v>0.75</v>
      </c>
      <c r="S161" s="10">
        <v>4</v>
      </c>
      <c r="T161" s="10">
        <v>7.5</v>
      </c>
      <c r="U161" s="10">
        <v>4.75</v>
      </c>
      <c r="V161" s="10">
        <v>4</v>
      </c>
      <c r="W161" s="10"/>
    </row>
    <row r="162" spans="2:23" s="9" customFormat="1" x14ac:dyDescent="0.2">
      <c r="B162" s="8" t="s">
        <v>218</v>
      </c>
      <c r="C162" s="10">
        <v>8.51</v>
      </c>
      <c r="D162" s="10">
        <v>5.98</v>
      </c>
      <c r="E162" s="10">
        <v>7</v>
      </c>
      <c r="F162" s="10">
        <v>10</v>
      </c>
      <c r="G162" s="10">
        <v>9</v>
      </c>
      <c r="H162" s="10">
        <v>5</v>
      </c>
      <c r="I162" s="10">
        <v>5</v>
      </c>
      <c r="J162" s="10">
        <v>5</v>
      </c>
      <c r="K162" s="10">
        <v>5.25</v>
      </c>
      <c r="L162" s="10">
        <v>3.75</v>
      </c>
      <c r="M162" s="10">
        <v>1.75</v>
      </c>
      <c r="N162" s="10">
        <v>4</v>
      </c>
      <c r="O162" s="10">
        <v>5</v>
      </c>
      <c r="P162" s="10">
        <v>4.75</v>
      </c>
      <c r="Q162" s="10">
        <v>1.25</v>
      </c>
      <c r="R162" s="10">
        <v>0.75</v>
      </c>
      <c r="S162" s="10">
        <v>4</v>
      </c>
      <c r="T162" s="10">
        <v>7.5</v>
      </c>
      <c r="U162" s="10">
        <v>4.75</v>
      </c>
      <c r="V162" s="10">
        <v>4</v>
      </c>
      <c r="W162" s="10"/>
    </row>
    <row r="163" spans="2:23" s="9" customFormat="1" x14ac:dyDescent="0.2">
      <c r="B163" s="8" t="s">
        <v>219</v>
      </c>
      <c r="C163" s="10">
        <v>8.51</v>
      </c>
      <c r="D163" s="10">
        <v>5.98</v>
      </c>
      <c r="E163" s="10">
        <v>7</v>
      </c>
      <c r="F163" s="10">
        <v>10</v>
      </c>
      <c r="G163" s="10">
        <v>9</v>
      </c>
      <c r="H163" s="10">
        <v>5</v>
      </c>
      <c r="I163" s="10">
        <v>5</v>
      </c>
      <c r="J163" s="10">
        <v>5</v>
      </c>
      <c r="K163" s="10">
        <v>5.25</v>
      </c>
      <c r="L163" s="10">
        <v>3.75</v>
      </c>
      <c r="M163" s="10">
        <v>1.75</v>
      </c>
      <c r="N163" s="10">
        <v>4</v>
      </c>
      <c r="O163" s="10">
        <v>5</v>
      </c>
      <c r="P163" s="10">
        <v>4.75</v>
      </c>
      <c r="Q163" s="10">
        <v>1.25</v>
      </c>
      <c r="R163" s="10">
        <v>0.75</v>
      </c>
      <c r="S163" s="10">
        <v>4</v>
      </c>
      <c r="T163" s="10">
        <v>7.5</v>
      </c>
      <c r="U163" s="10">
        <v>4.75</v>
      </c>
      <c r="V163" s="10">
        <v>4</v>
      </c>
      <c r="W163" s="10"/>
    </row>
    <row r="164" spans="2:23" s="9" customFormat="1" x14ac:dyDescent="0.2">
      <c r="B164" s="8" t="s">
        <v>220</v>
      </c>
      <c r="C164" s="10">
        <v>8.51</v>
      </c>
      <c r="D164" s="10">
        <v>5.98</v>
      </c>
      <c r="E164" s="10">
        <v>7</v>
      </c>
      <c r="F164" s="10">
        <v>10</v>
      </c>
      <c r="G164" s="10">
        <v>9</v>
      </c>
      <c r="H164" s="10">
        <v>5</v>
      </c>
      <c r="I164" s="10">
        <v>5</v>
      </c>
      <c r="J164" s="10">
        <v>5</v>
      </c>
      <c r="K164" s="10">
        <v>5.25</v>
      </c>
      <c r="L164" s="10">
        <v>3.75</v>
      </c>
      <c r="M164" s="10">
        <v>1.75</v>
      </c>
      <c r="N164" s="10">
        <v>4</v>
      </c>
      <c r="O164" s="10">
        <v>5</v>
      </c>
      <c r="P164" s="10">
        <v>4.75</v>
      </c>
      <c r="Q164" s="10">
        <v>1.25</v>
      </c>
      <c r="R164" s="10">
        <v>0.75</v>
      </c>
      <c r="S164" s="10">
        <v>4</v>
      </c>
      <c r="T164" s="10">
        <v>7.5</v>
      </c>
      <c r="U164" s="10">
        <v>4.75</v>
      </c>
      <c r="V164" s="10">
        <v>4</v>
      </c>
      <c r="W164" s="10"/>
    </row>
    <row r="165" spans="2:23" s="9" customFormat="1" x14ac:dyDescent="0.2">
      <c r="B165" s="8" t="s">
        <v>221</v>
      </c>
      <c r="C165" s="10">
        <v>8.51</v>
      </c>
      <c r="D165" s="10">
        <v>5.98</v>
      </c>
      <c r="E165" s="10">
        <v>7</v>
      </c>
      <c r="F165" s="10">
        <v>10</v>
      </c>
      <c r="G165" s="10">
        <v>9</v>
      </c>
      <c r="H165" s="10">
        <v>5</v>
      </c>
      <c r="I165" s="10">
        <v>5</v>
      </c>
      <c r="J165" s="10">
        <v>5</v>
      </c>
      <c r="K165" s="10">
        <v>5.25</v>
      </c>
      <c r="L165" s="10">
        <v>3.75</v>
      </c>
      <c r="M165" s="10">
        <v>1.75</v>
      </c>
      <c r="N165" s="10">
        <v>4.5</v>
      </c>
      <c r="O165" s="10">
        <v>5</v>
      </c>
      <c r="P165" s="10">
        <v>4.75</v>
      </c>
      <c r="Q165" s="10">
        <v>1.25</v>
      </c>
      <c r="R165" s="10">
        <v>0.75</v>
      </c>
      <c r="S165" s="10">
        <v>4</v>
      </c>
      <c r="T165" s="10">
        <v>7.5</v>
      </c>
      <c r="U165" s="10">
        <v>4.75</v>
      </c>
      <c r="V165" s="10">
        <v>4</v>
      </c>
      <c r="W165" s="10"/>
    </row>
    <row r="166" spans="2:23" s="9" customFormat="1" x14ac:dyDescent="0.2">
      <c r="B166" s="8" t="s">
        <v>222</v>
      </c>
      <c r="C166" s="10">
        <v>8.51</v>
      </c>
      <c r="D166" s="10"/>
      <c r="E166" s="10">
        <v>7</v>
      </c>
      <c r="F166" s="10">
        <v>10</v>
      </c>
      <c r="G166" s="10">
        <v>9</v>
      </c>
      <c r="H166" s="10">
        <v>5</v>
      </c>
      <c r="I166" s="10">
        <v>5</v>
      </c>
      <c r="J166" s="10">
        <v>5</v>
      </c>
      <c r="K166" s="10">
        <v>5.25</v>
      </c>
      <c r="L166" s="10">
        <v>3.75</v>
      </c>
      <c r="M166" s="10">
        <v>1.75</v>
      </c>
      <c r="N166" s="10">
        <v>4.5</v>
      </c>
      <c r="O166" s="10">
        <v>5</v>
      </c>
      <c r="P166" s="10">
        <v>4.75</v>
      </c>
      <c r="Q166" s="10">
        <v>1.25</v>
      </c>
      <c r="R166" s="10">
        <v>0.75</v>
      </c>
      <c r="S166" s="10">
        <v>4</v>
      </c>
      <c r="T166" s="10">
        <v>7.5</v>
      </c>
      <c r="U166" s="10">
        <v>4.75</v>
      </c>
      <c r="V166" s="10">
        <v>4</v>
      </c>
      <c r="W166" s="10"/>
    </row>
    <row r="167" spans="2:23" s="9" customFormat="1" x14ac:dyDescent="0.2">
      <c r="B167" s="8" t="s">
        <v>223</v>
      </c>
      <c r="C167" s="10"/>
      <c r="D167" s="10"/>
      <c r="E167" s="10">
        <v>7</v>
      </c>
      <c r="F167" s="10">
        <v>10</v>
      </c>
      <c r="G167" s="10">
        <v>9</v>
      </c>
      <c r="H167" s="10">
        <v>5</v>
      </c>
      <c r="I167" s="10">
        <v>5</v>
      </c>
      <c r="J167" s="10">
        <v>5</v>
      </c>
      <c r="K167" s="10">
        <v>5.25</v>
      </c>
      <c r="L167" s="10">
        <v>3.75</v>
      </c>
      <c r="M167" s="10">
        <v>1.75</v>
      </c>
      <c r="N167" s="10">
        <v>4.5</v>
      </c>
      <c r="O167" s="10">
        <v>5</v>
      </c>
      <c r="P167" s="10">
        <v>4.75</v>
      </c>
      <c r="Q167" s="10">
        <v>1.25</v>
      </c>
      <c r="R167" s="10">
        <v>0.75</v>
      </c>
      <c r="S167" s="10">
        <v>4</v>
      </c>
      <c r="T167" s="10">
        <v>7.5</v>
      </c>
      <c r="U167" s="10">
        <v>4.75</v>
      </c>
      <c r="V167" s="10">
        <v>4</v>
      </c>
      <c r="W167" s="10"/>
    </row>
    <row r="168" spans="2:23" s="9" customFormat="1" x14ac:dyDescent="0.2">
      <c r="B168" s="8" t="s">
        <v>224</v>
      </c>
      <c r="C168" s="10"/>
      <c r="D168" s="10">
        <v>5.98</v>
      </c>
      <c r="E168" s="10">
        <v>7</v>
      </c>
      <c r="F168" s="10">
        <v>10</v>
      </c>
      <c r="G168" s="10">
        <v>9</v>
      </c>
      <c r="H168" s="10">
        <v>5</v>
      </c>
      <c r="I168" s="10">
        <v>5</v>
      </c>
      <c r="J168" s="10">
        <v>5</v>
      </c>
      <c r="K168" s="10">
        <v>5.25</v>
      </c>
      <c r="L168" s="10">
        <v>3.75</v>
      </c>
      <c r="M168" s="10">
        <v>1.75</v>
      </c>
      <c r="N168" s="10">
        <v>4.5</v>
      </c>
      <c r="O168" s="10">
        <v>5</v>
      </c>
      <c r="P168" s="10">
        <v>4.75</v>
      </c>
      <c r="Q168" s="10">
        <v>1.25</v>
      </c>
      <c r="R168" s="10">
        <v>0.75</v>
      </c>
      <c r="S168" s="10">
        <v>4</v>
      </c>
      <c r="T168" s="10">
        <v>7.5</v>
      </c>
      <c r="U168" s="10">
        <v>4.75</v>
      </c>
      <c r="V168" s="10">
        <v>4</v>
      </c>
      <c r="W168" s="10"/>
    </row>
    <row r="169" spans="2:23" s="9" customFormat="1" x14ac:dyDescent="0.2">
      <c r="B169" s="8" t="s">
        <v>225</v>
      </c>
      <c r="C169" s="10">
        <v>8.51</v>
      </c>
      <c r="D169" s="10">
        <v>5.98</v>
      </c>
      <c r="E169" s="10">
        <v>7</v>
      </c>
      <c r="F169" s="10">
        <v>10</v>
      </c>
      <c r="G169" s="10">
        <v>9</v>
      </c>
      <c r="H169" s="10">
        <v>5</v>
      </c>
      <c r="I169" s="10">
        <v>5</v>
      </c>
      <c r="J169" s="10">
        <v>5</v>
      </c>
      <c r="K169" s="10">
        <v>5.25</v>
      </c>
      <c r="L169" s="10">
        <v>3.75</v>
      </c>
      <c r="M169" s="10">
        <v>1.75</v>
      </c>
      <c r="N169" s="10">
        <v>4.5</v>
      </c>
      <c r="O169" s="10">
        <v>5</v>
      </c>
      <c r="P169" s="10">
        <v>4.75</v>
      </c>
      <c r="Q169" s="10">
        <v>1.25</v>
      </c>
      <c r="R169" s="10">
        <v>0.75</v>
      </c>
      <c r="S169" s="10">
        <v>4</v>
      </c>
      <c r="T169" s="10">
        <v>7.5</v>
      </c>
      <c r="U169" s="10">
        <v>4.75</v>
      </c>
      <c r="V169" s="10">
        <v>4</v>
      </c>
      <c r="W169" s="10"/>
    </row>
    <row r="170" spans="2:23" s="9" customFormat="1" x14ac:dyDescent="0.2">
      <c r="B170" s="8" t="s">
        <v>226</v>
      </c>
      <c r="C170" s="10">
        <v>8.51</v>
      </c>
      <c r="D170" s="10">
        <v>5.98</v>
      </c>
      <c r="E170" s="10">
        <v>7</v>
      </c>
      <c r="F170" s="10">
        <v>10</v>
      </c>
      <c r="G170" s="10">
        <v>9</v>
      </c>
      <c r="H170" s="10">
        <v>5</v>
      </c>
      <c r="I170" s="10">
        <v>5</v>
      </c>
      <c r="J170" s="10">
        <v>5</v>
      </c>
      <c r="K170" s="10">
        <v>5.25</v>
      </c>
      <c r="L170" s="10">
        <v>3.75</v>
      </c>
      <c r="M170" s="10">
        <v>1.75</v>
      </c>
      <c r="N170" s="10">
        <v>4.5</v>
      </c>
      <c r="O170" s="10">
        <v>5</v>
      </c>
      <c r="P170" s="10">
        <v>4.75</v>
      </c>
      <c r="Q170" s="10">
        <v>1.25</v>
      </c>
      <c r="R170" s="10">
        <v>0.75</v>
      </c>
      <c r="S170" s="10">
        <v>4</v>
      </c>
      <c r="T170" s="10">
        <v>7.5</v>
      </c>
      <c r="U170" s="10">
        <v>4.75</v>
      </c>
      <c r="V170" s="10">
        <v>4</v>
      </c>
      <c r="W170" s="10"/>
    </row>
    <row r="171" spans="2:23" s="9" customFormat="1" x14ac:dyDescent="0.2">
      <c r="B171" s="8" t="s">
        <v>227</v>
      </c>
      <c r="C171" s="10">
        <v>8.51</v>
      </c>
      <c r="D171" s="10">
        <v>5.98</v>
      </c>
      <c r="E171" s="10">
        <v>7</v>
      </c>
      <c r="F171" s="10">
        <v>10</v>
      </c>
      <c r="G171" s="10">
        <v>9</v>
      </c>
      <c r="H171" s="10">
        <v>5</v>
      </c>
      <c r="I171" s="10">
        <v>5</v>
      </c>
      <c r="J171" s="10">
        <v>5</v>
      </c>
      <c r="K171" s="10">
        <v>5.25</v>
      </c>
      <c r="L171" s="10">
        <v>3.75</v>
      </c>
      <c r="M171" s="10">
        <v>1.75</v>
      </c>
      <c r="N171" s="10">
        <v>4.5</v>
      </c>
      <c r="O171" s="10">
        <v>5</v>
      </c>
      <c r="P171" s="10">
        <v>4.75</v>
      </c>
      <c r="Q171" s="10">
        <v>1.25</v>
      </c>
      <c r="R171" s="10">
        <v>0.75</v>
      </c>
      <c r="S171" s="10">
        <v>4</v>
      </c>
      <c r="T171" s="10">
        <v>7.5</v>
      </c>
      <c r="U171" s="10">
        <v>4.75</v>
      </c>
      <c r="V171" s="10">
        <v>4</v>
      </c>
      <c r="W171" s="10"/>
    </row>
    <row r="172" spans="2:23" s="9" customFormat="1" x14ac:dyDescent="0.2">
      <c r="B172" s="8" t="s">
        <v>228</v>
      </c>
      <c r="C172" s="10">
        <v>8.51</v>
      </c>
      <c r="D172" s="10">
        <v>5.98</v>
      </c>
      <c r="E172" s="10">
        <v>7</v>
      </c>
      <c r="F172" s="10">
        <v>10</v>
      </c>
      <c r="G172" s="10">
        <v>9</v>
      </c>
      <c r="H172" s="10">
        <v>5</v>
      </c>
      <c r="I172" s="10">
        <v>5</v>
      </c>
      <c r="J172" s="10">
        <v>5</v>
      </c>
      <c r="K172" s="10">
        <v>5.25</v>
      </c>
      <c r="L172" s="10">
        <v>3.75</v>
      </c>
      <c r="M172" s="10">
        <v>1.75</v>
      </c>
      <c r="N172" s="10">
        <v>4.5</v>
      </c>
      <c r="O172" s="10">
        <v>5</v>
      </c>
      <c r="P172" s="10">
        <v>4.75</v>
      </c>
      <c r="Q172" s="10">
        <v>1.25</v>
      </c>
      <c r="R172" s="10">
        <v>0.75</v>
      </c>
      <c r="S172" s="10">
        <v>4</v>
      </c>
      <c r="T172" s="10">
        <v>7</v>
      </c>
      <c r="U172" s="10">
        <v>4.75</v>
      </c>
      <c r="V172" s="10">
        <v>4</v>
      </c>
      <c r="W172" s="10"/>
    </row>
    <row r="173" spans="2:23" s="9" customFormat="1" x14ac:dyDescent="0.2">
      <c r="B173" s="8" t="s">
        <v>229</v>
      </c>
      <c r="C173" s="10">
        <v>8.51</v>
      </c>
      <c r="D173" s="10"/>
      <c r="E173" s="10">
        <v>7</v>
      </c>
      <c r="F173" s="10">
        <v>10</v>
      </c>
      <c r="G173" s="10">
        <v>9</v>
      </c>
      <c r="H173" s="10">
        <v>5</v>
      </c>
      <c r="I173" s="10">
        <v>5</v>
      </c>
      <c r="J173" s="10">
        <v>5</v>
      </c>
      <c r="K173" s="10">
        <v>5.25</v>
      </c>
      <c r="L173" s="10">
        <v>3.75</v>
      </c>
      <c r="M173" s="10">
        <v>1.75</v>
      </c>
      <c r="N173" s="10">
        <v>4.5</v>
      </c>
      <c r="O173" s="10">
        <v>5</v>
      </c>
      <c r="P173" s="10">
        <v>4.75</v>
      </c>
      <c r="Q173" s="10">
        <v>1.25</v>
      </c>
      <c r="R173" s="10">
        <v>0.75</v>
      </c>
      <c r="S173" s="10">
        <v>5.5</v>
      </c>
      <c r="T173" s="10">
        <v>7</v>
      </c>
      <c r="U173" s="10">
        <v>4.75</v>
      </c>
      <c r="V173" s="10">
        <v>4</v>
      </c>
      <c r="W173" s="10"/>
    </row>
    <row r="174" spans="2:23" s="9" customFormat="1" x14ac:dyDescent="0.2">
      <c r="B174" s="8" t="s">
        <v>230</v>
      </c>
      <c r="C174" s="10"/>
      <c r="D174" s="10"/>
      <c r="E174" s="10">
        <v>7</v>
      </c>
      <c r="F174" s="10">
        <v>10</v>
      </c>
      <c r="G174" s="10">
        <v>9</v>
      </c>
      <c r="H174" s="10">
        <v>5</v>
      </c>
      <c r="I174" s="10">
        <v>5</v>
      </c>
      <c r="J174" s="10">
        <v>5</v>
      </c>
      <c r="K174" s="10">
        <v>5.25</v>
      </c>
      <c r="L174" s="10">
        <v>3.75</v>
      </c>
      <c r="M174" s="10">
        <v>1.75</v>
      </c>
      <c r="N174" s="10">
        <v>4.5</v>
      </c>
      <c r="O174" s="10">
        <v>5</v>
      </c>
      <c r="P174" s="10">
        <v>4.75</v>
      </c>
      <c r="Q174" s="10">
        <v>1.25</v>
      </c>
      <c r="R174" s="10">
        <v>0.75</v>
      </c>
      <c r="S174" s="10">
        <v>5.5</v>
      </c>
      <c r="T174" s="10">
        <v>7</v>
      </c>
      <c r="U174" s="10">
        <v>4.75</v>
      </c>
      <c r="V174" s="10">
        <v>4</v>
      </c>
      <c r="W174" s="10"/>
    </row>
    <row r="175" spans="2:23" s="9" customFormat="1" x14ac:dyDescent="0.2">
      <c r="B175" s="8" t="s">
        <v>231</v>
      </c>
      <c r="C175" s="10"/>
      <c r="D175" s="10">
        <v>5.98</v>
      </c>
      <c r="E175" s="10">
        <v>7</v>
      </c>
      <c r="F175" s="10">
        <v>10</v>
      </c>
      <c r="G175" s="10">
        <v>9</v>
      </c>
      <c r="H175" s="10">
        <v>5</v>
      </c>
      <c r="I175" s="10">
        <v>5</v>
      </c>
      <c r="J175" s="10">
        <v>5</v>
      </c>
      <c r="K175" s="10">
        <v>5.25</v>
      </c>
      <c r="L175" s="10">
        <v>3.75</v>
      </c>
      <c r="M175" s="10">
        <v>1.75</v>
      </c>
      <c r="N175" s="10">
        <v>4.5</v>
      </c>
      <c r="O175" s="10">
        <v>5</v>
      </c>
      <c r="P175" s="10">
        <v>4.75</v>
      </c>
      <c r="Q175" s="10">
        <v>0.75</v>
      </c>
      <c r="R175" s="10">
        <v>0.75</v>
      </c>
      <c r="S175" s="10">
        <v>5.5</v>
      </c>
      <c r="T175" s="10">
        <v>7</v>
      </c>
      <c r="U175" s="10">
        <v>4.75</v>
      </c>
      <c r="V175" s="10">
        <v>4</v>
      </c>
      <c r="W175" s="10"/>
    </row>
    <row r="176" spans="2:23" s="9" customFormat="1" x14ac:dyDescent="0.2">
      <c r="B176" s="8" t="s">
        <v>232</v>
      </c>
      <c r="C176" s="10">
        <v>8.51</v>
      </c>
      <c r="D176" s="10">
        <v>5.98</v>
      </c>
      <c r="E176" s="10">
        <v>8</v>
      </c>
      <c r="F176" s="10">
        <v>10</v>
      </c>
      <c r="G176" s="10">
        <v>9</v>
      </c>
      <c r="H176" s="10">
        <v>5</v>
      </c>
      <c r="I176" s="10">
        <v>5</v>
      </c>
      <c r="J176" s="10">
        <v>5</v>
      </c>
      <c r="K176" s="10">
        <v>5.25</v>
      </c>
      <c r="L176" s="10">
        <v>3.75</v>
      </c>
      <c r="M176" s="10">
        <v>1.75</v>
      </c>
      <c r="N176" s="10">
        <v>4.5</v>
      </c>
      <c r="O176" s="10">
        <v>5</v>
      </c>
      <c r="P176" s="10">
        <v>4.75</v>
      </c>
      <c r="Q176" s="10">
        <v>0.75</v>
      </c>
      <c r="R176" s="10">
        <v>0.75</v>
      </c>
      <c r="S176" s="10">
        <v>5.5</v>
      </c>
      <c r="T176" s="10">
        <v>7</v>
      </c>
      <c r="U176" s="10">
        <v>4.75</v>
      </c>
      <c r="V176" s="10">
        <v>4</v>
      </c>
      <c r="W176" s="10"/>
    </row>
    <row r="177" spans="2:23" s="9" customFormat="1" x14ac:dyDescent="0.2">
      <c r="B177" s="8" t="s">
        <v>233</v>
      </c>
      <c r="C177" s="10">
        <v>8.51</v>
      </c>
      <c r="D177" s="10">
        <v>5.98</v>
      </c>
      <c r="E177" s="10">
        <v>8</v>
      </c>
      <c r="F177" s="10">
        <v>10</v>
      </c>
      <c r="G177" s="10">
        <v>9</v>
      </c>
      <c r="H177" s="10">
        <v>5</v>
      </c>
      <c r="I177" s="10">
        <v>5</v>
      </c>
      <c r="J177" s="10">
        <v>4</v>
      </c>
      <c r="K177" s="10">
        <v>5.25</v>
      </c>
      <c r="L177" s="10">
        <v>3.5</v>
      </c>
      <c r="M177" s="10">
        <v>1.75</v>
      </c>
      <c r="N177" s="10">
        <v>4.5</v>
      </c>
      <c r="O177" s="10">
        <v>5</v>
      </c>
      <c r="P177" s="10">
        <v>4.5</v>
      </c>
      <c r="Q177" s="10">
        <v>0.75</v>
      </c>
      <c r="R177" s="10">
        <v>0.75</v>
      </c>
      <c r="S177" s="10">
        <v>5.5</v>
      </c>
      <c r="T177" s="10">
        <v>7</v>
      </c>
      <c r="U177" s="10">
        <v>4.75</v>
      </c>
      <c r="V177" s="10">
        <v>4</v>
      </c>
      <c r="W177" s="10"/>
    </row>
    <row r="178" spans="2:23" s="9" customFormat="1" x14ac:dyDescent="0.2">
      <c r="B178" s="8" t="s">
        <v>234</v>
      </c>
      <c r="C178" s="10">
        <v>8.51</v>
      </c>
      <c r="D178" s="10">
        <v>5.98</v>
      </c>
      <c r="E178" s="10">
        <v>8</v>
      </c>
      <c r="F178" s="10">
        <v>10</v>
      </c>
      <c r="G178" s="10">
        <v>9</v>
      </c>
      <c r="H178" s="10">
        <v>5</v>
      </c>
      <c r="I178" s="10">
        <v>5</v>
      </c>
      <c r="J178" s="10">
        <v>4</v>
      </c>
      <c r="K178" s="10">
        <v>5.25</v>
      </c>
      <c r="L178" s="10">
        <v>3.5</v>
      </c>
      <c r="M178" s="10">
        <v>1.75</v>
      </c>
      <c r="N178" s="10">
        <v>4.5</v>
      </c>
      <c r="O178" s="10">
        <v>5</v>
      </c>
      <c r="P178" s="10">
        <v>4.5</v>
      </c>
      <c r="Q178" s="10">
        <v>0.75</v>
      </c>
      <c r="R178" s="10">
        <v>0.75</v>
      </c>
      <c r="S178" s="10">
        <v>5.5</v>
      </c>
      <c r="T178" s="10">
        <v>7</v>
      </c>
      <c r="U178" s="10">
        <v>4.75</v>
      </c>
      <c r="V178" s="10">
        <v>4</v>
      </c>
      <c r="W178" s="10"/>
    </row>
    <row r="179" spans="2:23" s="9" customFormat="1" x14ac:dyDescent="0.2">
      <c r="B179" s="8" t="s">
        <v>235</v>
      </c>
      <c r="C179" s="10">
        <v>8.51</v>
      </c>
      <c r="D179" s="10">
        <v>5.98</v>
      </c>
      <c r="E179" s="10">
        <v>8</v>
      </c>
      <c r="F179" s="10">
        <v>10</v>
      </c>
      <c r="G179" s="10">
        <v>9</v>
      </c>
      <c r="H179" s="10">
        <v>5</v>
      </c>
      <c r="I179" s="10">
        <v>5</v>
      </c>
      <c r="J179" s="10">
        <v>4</v>
      </c>
      <c r="K179" s="10">
        <v>5.25</v>
      </c>
      <c r="L179" s="10">
        <v>3.5</v>
      </c>
      <c r="M179" s="10">
        <v>1.75</v>
      </c>
      <c r="N179" s="10">
        <v>4.5</v>
      </c>
      <c r="O179" s="10">
        <v>5</v>
      </c>
      <c r="P179" s="10">
        <v>4.5</v>
      </c>
      <c r="Q179" s="10">
        <v>0.75</v>
      </c>
      <c r="R179" s="10">
        <v>0.75</v>
      </c>
      <c r="S179" s="10">
        <v>5.5</v>
      </c>
      <c r="T179" s="10">
        <v>7</v>
      </c>
      <c r="U179" s="10">
        <v>4.75</v>
      </c>
      <c r="V179" s="10">
        <v>4</v>
      </c>
      <c r="W179" s="10"/>
    </row>
    <row r="180" spans="2:23" s="9" customFormat="1" x14ac:dyDescent="0.2">
      <c r="B180" s="8" t="s">
        <v>236</v>
      </c>
      <c r="C180" s="10">
        <v>8.51</v>
      </c>
      <c r="D180" s="10"/>
      <c r="E180" s="10">
        <v>8</v>
      </c>
      <c r="F180" s="10">
        <v>10</v>
      </c>
      <c r="G180" s="10">
        <v>9</v>
      </c>
      <c r="H180" s="10">
        <v>5</v>
      </c>
      <c r="I180" s="10">
        <v>5</v>
      </c>
      <c r="J180" s="10">
        <v>4</v>
      </c>
      <c r="K180" s="10">
        <v>5.25</v>
      </c>
      <c r="L180" s="10">
        <v>3.5</v>
      </c>
      <c r="M180" s="10">
        <v>1.75</v>
      </c>
      <c r="N180" s="10">
        <v>4.5</v>
      </c>
      <c r="O180" s="10">
        <v>5</v>
      </c>
      <c r="P180" s="10">
        <v>4.5</v>
      </c>
      <c r="Q180" s="10">
        <v>0.75</v>
      </c>
      <c r="R180" s="10">
        <v>0.75</v>
      </c>
      <c r="S180" s="10">
        <v>5.5</v>
      </c>
      <c r="T180" s="10">
        <v>7</v>
      </c>
      <c r="U180" s="10">
        <v>4.75</v>
      </c>
      <c r="V180" s="10">
        <v>4</v>
      </c>
      <c r="W180" s="10"/>
    </row>
    <row r="181" spans="2:23" s="9" customFormat="1" x14ac:dyDescent="0.2">
      <c r="B181" s="8" t="s">
        <v>237</v>
      </c>
      <c r="C181" s="10"/>
      <c r="D181" s="10"/>
      <c r="E181" s="10">
        <v>8</v>
      </c>
      <c r="F181" s="10">
        <v>10</v>
      </c>
      <c r="G181" s="10">
        <v>9</v>
      </c>
      <c r="H181" s="10">
        <v>5</v>
      </c>
      <c r="I181" s="10">
        <v>5</v>
      </c>
      <c r="J181" s="10">
        <v>4</v>
      </c>
      <c r="K181" s="10">
        <v>5.25</v>
      </c>
      <c r="L181" s="10">
        <v>3.5</v>
      </c>
      <c r="M181" s="10">
        <v>1.75</v>
      </c>
      <c r="N181" s="10">
        <v>4.5</v>
      </c>
      <c r="O181" s="10">
        <v>5</v>
      </c>
      <c r="P181" s="10">
        <v>4.5</v>
      </c>
      <c r="Q181" s="10">
        <v>0.75</v>
      </c>
      <c r="R181" s="10">
        <v>0.75</v>
      </c>
      <c r="S181" s="10">
        <v>5.5</v>
      </c>
      <c r="T181" s="10">
        <v>7</v>
      </c>
      <c r="U181" s="10">
        <v>4.75</v>
      </c>
      <c r="V181" s="10">
        <v>4</v>
      </c>
      <c r="W181" s="10"/>
    </row>
    <row r="182" spans="2:23" s="9" customFormat="1" x14ac:dyDescent="0.2">
      <c r="B182" s="8" t="s">
        <v>238</v>
      </c>
      <c r="C182" s="10"/>
      <c r="D182" s="10">
        <v>5.98</v>
      </c>
      <c r="E182" s="10">
        <v>8</v>
      </c>
      <c r="F182" s="10">
        <v>10</v>
      </c>
      <c r="G182" s="10">
        <v>9</v>
      </c>
      <c r="H182" s="10">
        <v>5</v>
      </c>
      <c r="I182" s="10">
        <v>5</v>
      </c>
      <c r="J182" s="10">
        <v>4</v>
      </c>
      <c r="K182" s="10">
        <v>5.25</v>
      </c>
      <c r="L182" s="10">
        <v>3.5</v>
      </c>
      <c r="M182" s="10">
        <v>1.75</v>
      </c>
      <c r="N182" s="10">
        <v>4.5</v>
      </c>
      <c r="O182" s="10">
        <v>5</v>
      </c>
      <c r="P182" s="10">
        <v>4.5</v>
      </c>
      <c r="Q182" s="10">
        <v>0.75</v>
      </c>
      <c r="R182" s="10">
        <v>0.75</v>
      </c>
      <c r="S182" s="10">
        <v>5.5</v>
      </c>
      <c r="T182" s="10">
        <v>7</v>
      </c>
      <c r="U182" s="10">
        <v>4.75</v>
      </c>
      <c r="V182" s="10">
        <v>4</v>
      </c>
      <c r="W182" s="10"/>
    </row>
    <row r="183" spans="2:23" s="9" customFormat="1" x14ac:dyDescent="0.2">
      <c r="B183" s="8" t="s">
        <v>239</v>
      </c>
      <c r="C183" s="10">
        <v>8.51</v>
      </c>
      <c r="D183" s="10">
        <v>5.98</v>
      </c>
      <c r="E183" s="10">
        <v>8</v>
      </c>
      <c r="F183" s="10">
        <v>10</v>
      </c>
      <c r="G183" s="10">
        <v>9</v>
      </c>
      <c r="H183" s="10">
        <v>5</v>
      </c>
      <c r="I183" s="10">
        <v>5</v>
      </c>
      <c r="J183" s="10">
        <v>4</v>
      </c>
      <c r="K183" s="10">
        <v>5.25</v>
      </c>
      <c r="L183" s="10">
        <v>3.5</v>
      </c>
      <c r="M183" s="10">
        <v>1.75</v>
      </c>
      <c r="N183" s="10">
        <v>4.5</v>
      </c>
      <c r="O183" s="10">
        <v>5</v>
      </c>
      <c r="P183" s="10">
        <v>4.5</v>
      </c>
      <c r="Q183" s="10">
        <v>0.75</v>
      </c>
      <c r="R183" s="10">
        <v>0.75</v>
      </c>
      <c r="S183" s="10">
        <v>5.5</v>
      </c>
      <c r="T183" s="10">
        <v>7</v>
      </c>
      <c r="U183" s="10">
        <v>4.75</v>
      </c>
      <c r="V183" s="10">
        <v>4</v>
      </c>
      <c r="W183" s="10"/>
    </row>
    <row r="184" spans="2:23" s="9" customFormat="1" x14ac:dyDescent="0.2">
      <c r="B184" s="8" t="s">
        <v>240</v>
      </c>
      <c r="C184" s="10">
        <v>8.51</v>
      </c>
      <c r="D184" s="10">
        <v>5.98</v>
      </c>
      <c r="E184" s="10">
        <v>8</v>
      </c>
      <c r="F184" s="10">
        <v>10</v>
      </c>
      <c r="G184" s="10">
        <v>9</v>
      </c>
      <c r="H184" s="10">
        <v>5</v>
      </c>
      <c r="I184" s="10">
        <v>5</v>
      </c>
      <c r="J184" s="10">
        <v>4</v>
      </c>
      <c r="K184" s="10">
        <v>5.25</v>
      </c>
      <c r="L184" s="10">
        <v>3.5</v>
      </c>
      <c r="M184" s="10">
        <v>1.75</v>
      </c>
      <c r="N184" s="10">
        <v>4.5</v>
      </c>
      <c r="O184" s="10">
        <v>5</v>
      </c>
      <c r="P184" s="10">
        <v>4.5</v>
      </c>
      <c r="Q184" s="10">
        <v>0.75</v>
      </c>
      <c r="R184" s="10">
        <v>0.75</v>
      </c>
      <c r="S184" s="10">
        <v>5.5</v>
      </c>
      <c r="T184" s="10">
        <v>7</v>
      </c>
      <c r="U184" s="10">
        <v>4.75</v>
      </c>
      <c r="V184" s="10">
        <v>4</v>
      </c>
      <c r="W184" s="10"/>
    </row>
    <row r="185" spans="2:23" s="9" customFormat="1" x14ac:dyDescent="0.2">
      <c r="B185" s="8" t="s">
        <v>241</v>
      </c>
      <c r="C185" s="10">
        <v>8.51</v>
      </c>
      <c r="D185" s="10">
        <v>5.98</v>
      </c>
      <c r="E185" s="10">
        <v>8</v>
      </c>
      <c r="F185" s="10">
        <v>10</v>
      </c>
      <c r="G185" s="10">
        <v>9</v>
      </c>
      <c r="H185" s="10">
        <v>5</v>
      </c>
      <c r="I185" s="10">
        <v>5</v>
      </c>
      <c r="J185" s="10">
        <v>4</v>
      </c>
      <c r="K185" s="10">
        <v>5.25</v>
      </c>
      <c r="L185" s="10">
        <v>3.5</v>
      </c>
      <c r="M185" s="10">
        <v>1.75</v>
      </c>
      <c r="N185" s="10">
        <v>4.5</v>
      </c>
      <c r="O185" s="10">
        <v>5</v>
      </c>
      <c r="P185" s="10">
        <v>4.5</v>
      </c>
      <c r="Q185" s="10">
        <v>0.75</v>
      </c>
      <c r="R185" s="10">
        <v>0.75</v>
      </c>
      <c r="S185" s="10">
        <v>5.5</v>
      </c>
      <c r="T185" s="10">
        <v>7</v>
      </c>
      <c r="U185" s="10">
        <v>4.75</v>
      </c>
      <c r="V185" s="10">
        <v>4</v>
      </c>
      <c r="W185" s="10"/>
    </row>
    <row r="186" spans="2:23" s="9" customFormat="1" x14ac:dyDescent="0.2">
      <c r="B186" s="8" t="s">
        <v>242</v>
      </c>
      <c r="C186" s="10">
        <v>8.51</v>
      </c>
      <c r="D186" s="10">
        <v>5.98</v>
      </c>
      <c r="E186" s="10">
        <v>8</v>
      </c>
      <c r="F186" s="10">
        <v>10</v>
      </c>
      <c r="G186" s="10">
        <v>9</v>
      </c>
      <c r="H186" s="10">
        <v>5</v>
      </c>
      <c r="I186" s="10">
        <v>5</v>
      </c>
      <c r="J186" s="10">
        <v>4</v>
      </c>
      <c r="K186" s="10">
        <v>5.25</v>
      </c>
      <c r="L186" s="10">
        <v>3.5</v>
      </c>
      <c r="M186" s="10">
        <v>1.75</v>
      </c>
      <c r="N186" s="10">
        <v>4.5</v>
      </c>
      <c r="O186" s="10">
        <v>5</v>
      </c>
      <c r="P186" s="10">
        <v>4.5</v>
      </c>
      <c r="Q186" s="10">
        <v>0.75</v>
      </c>
      <c r="R186" s="10">
        <v>0.75</v>
      </c>
      <c r="S186" s="10">
        <v>5.5</v>
      </c>
      <c r="T186" s="10">
        <v>7</v>
      </c>
      <c r="U186" s="10">
        <v>4.75</v>
      </c>
      <c r="V186" s="10">
        <v>4</v>
      </c>
      <c r="W186" s="10"/>
    </row>
    <row r="187" spans="2:23" x14ac:dyDescent="0.2">
      <c r="B187" s="21" t="s">
        <v>243</v>
      </c>
      <c r="C187" s="12">
        <v>8.51</v>
      </c>
      <c r="D187" s="12"/>
      <c r="E187" s="12">
        <v>8</v>
      </c>
      <c r="F187" s="12">
        <v>10</v>
      </c>
      <c r="G187" s="12">
        <v>9</v>
      </c>
      <c r="H187" s="12">
        <v>5</v>
      </c>
      <c r="I187" s="12">
        <v>5</v>
      </c>
      <c r="J187" s="12">
        <v>4</v>
      </c>
      <c r="K187" s="12">
        <v>5.25</v>
      </c>
      <c r="L187" s="12">
        <v>3.5</v>
      </c>
      <c r="M187" s="12">
        <v>1.75</v>
      </c>
      <c r="N187" s="12">
        <v>4.5</v>
      </c>
      <c r="O187" s="12">
        <v>5</v>
      </c>
      <c r="P187" s="12">
        <v>4.5</v>
      </c>
      <c r="Q187" s="12">
        <v>0.75</v>
      </c>
      <c r="R187" s="12">
        <v>0.75</v>
      </c>
      <c r="S187" s="12">
        <v>5.5</v>
      </c>
      <c r="T187" s="12">
        <v>7</v>
      </c>
      <c r="U187" s="22">
        <v>4.75</v>
      </c>
      <c r="V187" s="22">
        <v>4</v>
      </c>
      <c r="W187" s="23"/>
    </row>
    <row r="188" spans="2:23" s="9" customFormat="1" x14ac:dyDescent="0.2">
      <c r="B188" s="8" t="s">
        <v>244</v>
      </c>
      <c r="C188" s="10"/>
      <c r="D188" s="10"/>
      <c r="E188" s="10">
        <v>8</v>
      </c>
      <c r="F188" s="10">
        <v>10</v>
      </c>
      <c r="G188" s="10">
        <v>9</v>
      </c>
      <c r="H188" s="10">
        <v>5</v>
      </c>
      <c r="I188" s="10">
        <v>5</v>
      </c>
      <c r="J188" s="10">
        <v>4</v>
      </c>
      <c r="K188" s="10">
        <v>5.25</v>
      </c>
      <c r="L188" s="10">
        <v>3.5</v>
      </c>
      <c r="M188" s="10">
        <v>1.75</v>
      </c>
      <c r="N188" s="10">
        <v>4.5</v>
      </c>
      <c r="O188" s="10">
        <v>5</v>
      </c>
      <c r="P188" s="10">
        <v>4.5</v>
      </c>
      <c r="Q188" s="10">
        <v>0.75</v>
      </c>
      <c r="R188" s="10">
        <v>0.75</v>
      </c>
      <c r="S188" s="10">
        <v>5.5</v>
      </c>
      <c r="T188" s="10">
        <v>7</v>
      </c>
      <c r="U188" s="10">
        <v>4.75</v>
      </c>
      <c r="V188" s="10">
        <v>4</v>
      </c>
      <c r="W188" s="10"/>
    </row>
    <row r="189" spans="2:23" s="9" customFormat="1" x14ac:dyDescent="0.2">
      <c r="B189" s="8" t="s">
        <v>245</v>
      </c>
      <c r="C189" s="10"/>
      <c r="D189" s="10">
        <v>5.98</v>
      </c>
      <c r="E189" s="10">
        <v>8</v>
      </c>
      <c r="F189" s="10">
        <v>10</v>
      </c>
      <c r="G189" s="10">
        <v>9</v>
      </c>
      <c r="H189" s="10">
        <v>5</v>
      </c>
      <c r="I189" s="10">
        <v>5</v>
      </c>
      <c r="J189" s="10">
        <v>4</v>
      </c>
      <c r="K189" s="10">
        <v>5.25</v>
      </c>
      <c r="L189" s="10">
        <v>3.5</v>
      </c>
      <c r="M189" s="10">
        <v>1.75</v>
      </c>
      <c r="N189" s="10">
        <v>4.5</v>
      </c>
      <c r="O189" s="10">
        <v>5</v>
      </c>
      <c r="P189" s="10">
        <v>4.5</v>
      </c>
      <c r="Q189" s="10">
        <v>0.75</v>
      </c>
      <c r="R189" s="10">
        <v>0.75</v>
      </c>
      <c r="S189" s="10">
        <v>5.5</v>
      </c>
      <c r="T189" s="10">
        <v>7</v>
      </c>
      <c r="U189" s="10">
        <v>4.75</v>
      </c>
      <c r="V189" s="10">
        <v>4</v>
      </c>
      <c r="W189" s="10"/>
    </row>
    <row r="190" spans="2:23" s="9" customFormat="1" x14ac:dyDescent="0.2">
      <c r="B190" s="8" t="s">
        <v>246</v>
      </c>
      <c r="C190" s="10">
        <v>8.51</v>
      </c>
      <c r="D190" s="10">
        <v>5.98</v>
      </c>
      <c r="E190" s="10">
        <v>8</v>
      </c>
      <c r="F190" s="10">
        <v>10</v>
      </c>
      <c r="G190" s="10">
        <v>9</v>
      </c>
      <c r="H190" s="10">
        <v>5</v>
      </c>
      <c r="I190" s="10">
        <v>5</v>
      </c>
      <c r="J190" s="10">
        <v>4</v>
      </c>
      <c r="K190" s="10">
        <v>5.25</v>
      </c>
      <c r="L190" s="10">
        <v>3.5</v>
      </c>
      <c r="M190" s="10">
        <v>1.75</v>
      </c>
      <c r="N190" s="10">
        <v>4.5</v>
      </c>
      <c r="O190" s="10">
        <v>5</v>
      </c>
      <c r="P190" s="10">
        <v>4.5</v>
      </c>
      <c r="Q190" s="10">
        <v>0.75</v>
      </c>
      <c r="R190" s="10">
        <v>0.75</v>
      </c>
      <c r="S190" s="10">
        <v>5.5</v>
      </c>
      <c r="T190" s="10">
        <v>7</v>
      </c>
      <c r="U190" s="10">
        <v>4.75</v>
      </c>
      <c r="V190" s="10">
        <v>4</v>
      </c>
      <c r="W190" s="10"/>
    </row>
    <row r="191" spans="2:23" s="9" customFormat="1" x14ac:dyDescent="0.2">
      <c r="B191" s="8" t="s">
        <v>247</v>
      </c>
      <c r="C191" s="10">
        <v>8.51</v>
      </c>
      <c r="D191" s="10">
        <v>5.98</v>
      </c>
      <c r="E191" s="10">
        <v>8</v>
      </c>
      <c r="F191" s="10">
        <v>10</v>
      </c>
      <c r="G191" s="10">
        <v>9</v>
      </c>
      <c r="H191" s="10">
        <v>5</v>
      </c>
      <c r="I191" s="10">
        <v>5</v>
      </c>
      <c r="J191" s="10">
        <v>4</v>
      </c>
      <c r="K191" s="10">
        <v>5.25</v>
      </c>
      <c r="L191" s="10">
        <v>3.5</v>
      </c>
      <c r="M191" s="10">
        <v>1.75</v>
      </c>
      <c r="N191" s="10">
        <v>4.5</v>
      </c>
      <c r="O191" s="10">
        <v>5</v>
      </c>
      <c r="P191" s="10">
        <v>4.5</v>
      </c>
      <c r="Q191" s="10">
        <v>0.75</v>
      </c>
      <c r="R191" s="10">
        <v>0.75</v>
      </c>
      <c r="S191" s="10">
        <v>5.5</v>
      </c>
      <c r="T191" s="10">
        <v>7</v>
      </c>
      <c r="U191" s="10">
        <v>4.75</v>
      </c>
      <c r="V191" s="10">
        <v>4</v>
      </c>
      <c r="W191" s="10"/>
    </row>
    <row r="192" spans="2:23" s="9" customFormat="1" x14ac:dyDescent="0.2">
      <c r="B192" s="8" t="s">
        <v>248</v>
      </c>
      <c r="C192" s="10">
        <v>8.51</v>
      </c>
      <c r="D192" s="10">
        <v>5.98</v>
      </c>
      <c r="E192" s="10">
        <v>8</v>
      </c>
      <c r="F192" s="10">
        <v>10</v>
      </c>
      <c r="G192" s="10">
        <v>9</v>
      </c>
      <c r="H192" s="10">
        <v>5</v>
      </c>
      <c r="I192" s="10">
        <v>5</v>
      </c>
      <c r="J192" s="10">
        <v>4</v>
      </c>
      <c r="K192" s="10">
        <v>5.25</v>
      </c>
      <c r="L192" s="10">
        <v>3.5</v>
      </c>
      <c r="M192" s="10">
        <v>1.75</v>
      </c>
      <c r="N192" s="10">
        <v>4.5</v>
      </c>
      <c r="O192" s="10">
        <v>5</v>
      </c>
      <c r="P192" s="10">
        <v>4.5</v>
      </c>
      <c r="Q192" s="10">
        <v>0.75</v>
      </c>
      <c r="R192" s="10">
        <v>0.75</v>
      </c>
      <c r="S192" s="10">
        <v>5.5</v>
      </c>
      <c r="T192" s="10">
        <v>7</v>
      </c>
      <c r="U192" s="10">
        <v>4.75</v>
      </c>
      <c r="V192" s="10">
        <v>4</v>
      </c>
      <c r="W192" s="10"/>
    </row>
    <row r="193" spans="2:23" s="9" customFormat="1" x14ac:dyDescent="0.2">
      <c r="B193" s="8" t="s">
        <v>249</v>
      </c>
      <c r="C193" s="10">
        <v>8.74</v>
      </c>
      <c r="D193" s="10">
        <v>5.98</v>
      </c>
      <c r="E193" s="10">
        <v>8</v>
      </c>
      <c r="F193" s="10">
        <v>10</v>
      </c>
      <c r="G193" s="10">
        <v>9</v>
      </c>
      <c r="H193" s="10">
        <v>5</v>
      </c>
      <c r="I193" s="10">
        <v>5</v>
      </c>
      <c r="J193" s="10">
        <v>4</v>
      </c>
      <c r="K193" s="10">
        <v>5.25</v>
      </c>
      <c r="L193" s="10">
        <v>3.5</v>
      </c>
      <c r="M193" s="10">
        <v>1.75</v>
      </c>
      <c r="N193" s="10">
        <v>4.5</v>
      </c>
      <c r="O193" s="10">
        <v>5</v>
      </c>
      <c r="P193" s="10">
        <v>4.5</v>
      </c>
      <c r="Q193" s="10">
        <v>0.75</v>
      </c>
      <c r="R193" s="10">
        <v>0.75</v>
      </c>
      <c r="S193" s="10">
        <v>5.5</v>
      </c>
      <c r="T193" s="10">
        <v>7</v>
      </c>
      <c r="U193" s="10">
        <v>4.75</v>
      </c>
      <c r="V193" s="10">
        <v>4</v>
      </c>
      <c r="W193" s="10"/>
    </row>
    <row r="194" spans="2:23" s="9" customFormat="1" x14ac:dyDescent="0.2">
      <c r="B194" s="8" t="s">
        <v>250</v>
      </c>
      <c r="C194" s="10">
        <v>8.74</v>
      </c>
      <c r="D194" s="10"/>
      <c r="E194" s="10">
        <v>8</v>
      </c>
      <c r="F194" s="10">
        <v>10</v>
      </c>
      <c r="G194" s="10">
        <v>9</v>
      </c>
      <c r="H194" s="10">
        <v>5</v>
      </c>
      <c r="I194" s="10">
        <v>5</v>
      </c>
      <c r="J194" s="10">
        <v>4</v>
      </c>
      <c r="K194" s="10">
        <v>5.25</v>
      </c>
      <c r="L194" s="10">
        <v>3.5</v>
      </c>
      <c r="M194" s="10">
        <v>1.75</v>
      </c>
      <c r="N194" s="10">
        <v>4.5</v>
      </c>
      <c r="O194" s="10">
        <v>5</v>
      </c>
      <c r="P194" s="10">
        <v>4.5</v>
      </c>
      <c r="Q194" s="10">
        <v>0.75</v>
      </c>
      <c r="R194" s="10">
        <v>0.75</v>
      </c>
      <c r="S194" s="10">
        <v>5.5</v>
      </c>
      <c r="T194" s="10">
        <v>7</v>
      </c>
      <c r="U194" s="10">
        <v>4.75</v>
      </c>
      <c r="V194" s="10">
        <v>4</v>
      </c>
      <c r="W194" s="10"/>
    </row>
    <row r="195" spans="2:23" s="9" customFormat="1" x14ac:dyDescent="0.2">
      <c r="B195" s="8" t="s">
        <v>251</v>
      </c>
      <c r="C195" s="10"/>
      <c r="D195" s="10"/>
      <c r="E195" s="10">
        <v>8</v>
      </c>
      <c r="F195" s="10">
        <v>10</v>
      </c>
      <c r="G195" s="10">
        <v>9</v>
      </c>
      <c r="H195" s="10">
        <v>5</v>
      </c>
      <c r="I195" s="10">
        <v>5</v>
      </c>
      <c r="J195" s="10">
        <v>4</v>
      </c>
      <c r="K195" s="10">
        <v>5.25</v>
      </c>
      <c r="L195" s="10">
        <v>3.5</v>
      </c>
      <c r="M195" s="10">
        <v>1.75</v>
      </c>
      <c r="N195" s="10">
        <v>4.5</v>
      </c>
      <c r="O195" s="10">
        <v>5</v>
      </c>
      <c r="P195" s="10">
        <v>4.5</v>
      </c>
      <c r="Q195" s="10">
        <v>0.75</v>
      </c>
      <c r="R195" s="10">
        <v>0.75</v>
      </c>
      <c r="S195" s="10">
        <v>5.5</v>
      </c>
      <c r="T195" s="10">
        <v>7</v>
      </c>
      <c r="U195" s="10">
        <v>4.75</v>
      </c>
      <c r="V195" s="10">
        <v>4</v>
      </c>
      <c r="W195" s="10"/>
    </row>
    <row r="196" spans="2:23" s="9" customFormat="1" x14ac:dyDescent="0.2">
      <c r="B196" s="8" t="s">
        <v>252</v>
      </c>
      <c r="C196" s="10"/>
      <c r="D196" s="10">
        <v>5.98</v>
      </c>
      <c r="E196" s="10">
        <v>8</v>
      </c>
      <c r="F196" s="10">
        <v>10</v>
      </c>
      <c r="G196" s="10">
        <v>9</v>
      </c>
      <c r="H196" s="10">
        <v>5</v>
      </c>
      <c r="I196" s="10">
        <v>5</v>
      </c>
      <c r="J196" s="10">
        <v>4</v>
      </c>
      <c r="K196" s="10">
        <v>5.25</v>
      </c>
      <c r="L196" s="10">
        <v>3.5</v>
      </c>
      <c r="M196" s="10">
        <v>1.75</v>
      </c>
      <c r="N196" s="10">
        <v>4.5</v>
      </c>
      <c r="O196" s="10">
        <v>5</v>
      </c>
      <c r="P196" s="10">
        <v>4.5</v>
      </c>
      <c r="Q196" s="10">
        <v>0.75</v>
      </c>
      <c r="R196" s="10">
        <v>0.75</v>
      </c>
      <c r="S196" s="10">
        <v>5.5</v>
      </c>
      <c r="T196" s="10">
        <v>7</v>
      </c>
      <c r="U196" s="10">
        <v>4.75</v>
      </c>
      <c r="V196" s="10">
        <v>4</v>
      </c>
      <c r="W196" s="10"/>
    </row>
    <row r="197" spans="2:23" s="9" customFormat="1" x14ac:dyDescent="0.2">
      <c r="B197" s="8" t="s">
        <v>253</v>
      </c>
      <c r="C197" s="10">
        <v>8.74</v>
      </c>
      <c r="D197" s="10">
        <v>5.98</v>
      </c>
      <c r="E197" s="10">
        <v>9</v>
      </c>
      <c r="F197" s="10">
        <v>10</v>
      </c>
      <c r="G197" s="10">
        <v>9</v>
      </c>
      <c r="H197" s="10">
        <v>5</v>
      </c>
      <c r="I197" s="10">
        <v>5</v>
      </c>
      <c r="J197" s="10">
        <v>4</v>
      </c>
      <c r="K197" s="10">
        <v>5.25</v>
      </c>
      <c r="L197" s="10">
        <v>3.5</v>
      </c>
      <c r="M197" s="10">
        <v>1.75</v>
      </c>
      <c r="N197" s="10">
        <v>4.5</v>
      </c>
      <c r="O197" s="10">
        <v>5</v>
      </c>
      <c r="P197" s="10">
        <v>4.5</v>
      </c>
      <c r="Q197" s="10">
        <v>0.75</v>
      </c>
      <c r="R197" s="10">
        <v>0.75</v>
      </c>
      <c r="S197" s="10">
        <v>5.5</v>
      </c>
      <c r="T197" s="10">
        <v>7</v>
      </c>
      <c r="U197" s="10">
        <v>4.75</v>
      </c>
      <c r="V197" s="10">
        <v>4</v>
      </c>
      <c r="W197" s="10"/>
    </row>
    <row r="198" spans="2:23" s="9" customFormat="1" x14ac:dyDescent="0.2">
      <c r="B198" s="8" t="s">
        <v>254</v>
      </c>
      <c r="C198" s="10">
        <v>8.74</v>
      </c>
      <c r="D198" s="10">
        <v>5.98</v>
      </c>
      <c r="E198" s="10">
        <v>9</v>
      </c>
      <c r="F198" s="10">
        <v>10</v>
      </c>
      <c r="G198" s="10">
        <v>9</v>
      </c>
      <c r="H198" s="10">
        <v>5</v>
      </c>
      <c r="I198" s="10">
        <v>5</v>
      </c>
      <c r="J198" s="10">
        <v>4</v>
      </c>
      <c r="K198" s="10">
        <v>5.25</v>
      </c>
      <c r="L198" s="10">
        <v>3.5</v>
      </c>
      <c r="M198" s="10">
        <v>1.75</v>
      </c>
      <c r="N198" s="10">
        <v>4.5</v>
      </c>
      <c r="O198" s="10">
        <v>5</v>
      </c>
      <c r="P198" s="10">
        <v>4.5</v>
      </c>
      <c r="Q198" s="10">
        <v>0.75</v>
      </c>
      <c r="R198" s="10">
        <v>0.75</v>
      </c>
      <c r="S198" s="10">
        <v>5.5</v>
      </c>
      <c r="T198" s="10">
        <v>7</v>
      </c>
      <c r="U198" s="10">
        <v>4.75</v>
      </c>
      <c r="V198" s="10">
        <v>4</v>
      </c>
      <c r="W198" s="10"/>
    </row>
    <row r="199" spans="2:23" s="9" customFormat="1" x14ac:dyDescent="0.2">
      <c r="B199" s="8" t="s">
        <v>255</v>
      </c>
      <c r="C199" s="10">
        <v>8.74</v>
      </c>
      <c r="D199" s="10">
        <v>5.98</v>
      </c>
      <c r="E199" s="10">
        <v>9</v>
      </c>
      <c r="F199" s="10">
        <v>10</v>
      </c>
      <c r="G199" s="10">
        <v>9</v>
      </c>
      <c r="H199" s="10">
        <v>5</v>
      </c>
      <c r="I199" s="10">
        <v>5</v>
      </c>
      <c r="J199" s="10">
        <v>4</v>
      </c>
      <c r="K199" s="10">
        <v>5.25</v>
      </c>
      <c r="L199" s="10">
        <v>3.5</v>
      </c>
      <c r="M199" s="10">
        <v>1.75</v>
      </c>
      <c r="N199" s="10">
        <v>4.5</v>
      </c>
      <c r="O199" s="10">
        <v>5</v>
      </c>
      <c r="P199" s="10">
        <v>4.5</v>
      </c>
      <c r="Q199" s="10">
        <v>0.75</v>
      </c>
      <c r="R199" s="10">
        <v>0.75</v>
      </c>
      <c r="S199" s="10">
        <v>5.5</v>
      </c>
      <c r="T199" s="10">
        <v>7</v>
      </c>
      <c r="U199" s="10">
        <v>4.75</v>
      </c>
      <c r="V199" s="10">
        <v>4</v>
      </c>
      <c r="W199" s="10"/>
    </row>
    <row r="200" spans="2:23" s="9" customFormat="1" x14ac:dyDescent="0.2">
      <c r="B200" s="8" t="s">
        <v>256</v>
      </c>
      <c r="C200" s="10">
        <v>8.74</v>
      </c>
      <c r="D200" s="10">
        <v>5.98</v>
      </c>
      <c r="E200" s="10">
        <v>9</v>
      </c>
      <c r="F200" s="10">
        <v>10</v>
      </c>
      <c r="G200" s="10">
        <v>9</v>
      </c>
      <c r="H200" s="10">
        <v>5</v>
      </c>
      <c r="I200" s="10">
        <v>5</v>
      </c>
      <c r="J200" s="10">
        <v>4</v>
      </c>
      <c r="K200" s="10">
        <v>5.25</v>
      </c>
      <c r="L200" s="10">
        <v>3.5</v>
      </c>
      <c r="M200" s="10">
        <v>1.75</v>
      </c>
      <c r="N200" s="10">
        <v>4.5</v>
      </c>
      <c r="O200" s="10">
        <v>5</v>
      </c>
      <c r="P200" s="10">
        <v>4.5</v>
      </c>
      <c r="Q200" s="10">
        <v>0.75</v>
      </c>
      <c r="R200" s="10">
        <v>0.75</v>
      </c>
      <c r="S200" s="10">
        <v>5.5</v>
      </c>
      <c r="T200" s="10">
        <v>7</v>
      </c>
      <c r="U200" s="10">
        <v>4.75</v>
      </c>
      <c r="V200" s="10">
        <v>4</v>
      </c>
      <c r="W200" s="10"/>
    </row>
    <row r="201" spans="2:23" s="9" customFormat="1" x14ac:dyDescent="0.2">
      <c r="B201" s="8" t="s">
        <v>257</v>
      </c>
      <c r="C201" s="10">
        <v>8.74</v>
      </c>
      <c r="D201" s="10"/>
      <c r="E201" s="10">
        <v>9</v>
      </c>
      <c r="F201" s="10">
        <v>10</v>
      </c>
      <c r="G201" s="10">
        <v>9</v>
      </c>
      <c r="H201" s="10">
        <v>5</v>
      </c>
      <c r="I201" s="10">
        <v>5</v>
      </c>
      <c r="J201" s="10">
        <v>4</v>
      </c>
      <c r="K201" s="10">
        <v>5.25</v>
      </c>
      <c r="L201" s="10">
        <v>3.5</v>
      </c>
      <c r="M201" s="10">
        <v>1.75</v>
      </c>
      <c r="N201" s="10">
        <v>4.5</v>
      </c>
      <c r="O201" s="10">
        <v>5</v>
      </c>
      <c r="P201" s="10">
        <v>4.5</v>
      </c>
      <c r="Q201" s="10">
        <v>0.75</v>
      </c>
      <c r="R201" s="10">
        <v>0.75</v>
      </c>
      <c r="S201" s="10">
        <v>5.5</v>
      </c>
      <c r="T201" s="10">
        <v>7</v>
      </c>
      <c r="U201" s="10">
        <v>4.75</v>
      </c>
      <c r="V201" s="10">
        <v>4</v>
      </c>
      <c r="W201" s="10"/>
    </row>
    <row r="202" spans="2:23" s="9" customFormat="1" x14ac:dyDescent="0.2">
      <c r="B202" s="8" t="s">
        <v>258</v>
      </c>
      <c r="C202" s="10"/>
      <c r="D202" s="10"/>
      <c r="E202" s="10">
        <v>9</v>
      </c>
      <c r="F202" s="10">
        <v>10</v>
      </c>
      <c r="G202" s="10">
        <v>9</v>
      </c>
      <c r="H202" s="10">
        <v>5</v>
      </c>
      <c r="I202" s="10">
        <v>5</v>
      </c>
      <c r="J202" s="10">
        <v>4</v>
      </c>
      <c r="K202" s="10">
        <v>5.25</v>
      </c>
      <c r="L202" s="10">
        <v>3.5</v>
      </c>
      <c r="M202" s="10">
        <v>1.75</v>
      </c>
      <c r="N202" s="10">
        <v>4.5</v>
      </c>
      <c r="O202" s="10">
        <v>5</v>
      </c>
      <c r="P202" s="10">
        <v>4.5</v>
      </c>
      <c r="Q202" s="10">
        <v>0.75</v>
      </c>
      <c r="R202" s="10">
        <v>0.75</v>
      </c>
      <c r="S202" s="10">
        <v>5.5</v>
      </c>
      <c r="T202" s="10">
        <v>7</v>
      </c>
      <c r="U202" s="10">
        <v>4.75</v>
      </c>
      <c r="V202" s="10">
        <v>4</v>
      </c>
      <c r="W202" s="10"/>
    </row>
    <row r="203" spans="2:23" s="9" customFormat="1" x14ac:dyDescent="0.2">
      <c r="B203" s="8" t="s">
        <v>259</v>
      </c>
      <c r="C203" s="10"/>
      <c r="D203" s="10">
        <v>5.98</v>
      </c>
      <c r="E203" s="10">
        <v>9</v>
      </c>
      <c r="F203" s="10">
        <v>9</v>
      </c>
      <c r="G203" s="10">
        <v>9</v>
      </c>
      <c r="H203" s="10">
        <v>5</v>
      </c>
      <c r="I203" s="10">
        <v>5</v>
      </c>
      <c r="J203" s="10">
        <v>4</v>
      </c>
      <c r="K203" s="10">
        <v>5.25</v>
      </c>
      <c r="L203" s="10">
        <v>3.5</v>
      </c>
      <c r="M203" s="10">
        <v>1.75</v>
      </c>
      <c r="N203" s="10">
        <v>4.5</v>
      </c>
      <c r="O203" s="10">
        <v>5</v>
      </c>
      <c r="P203" s="10">
        <v>4.5</v>
      </c>
      <c r="Q203" s="10">
        <v>0.75</v>
      </c>
      <c r="R203" s="10">
        <v>0.75</v>
      </c>
      <c r="S203" s="10">
        <v>5.5</v>
      </c>
      <c r="T203" s="10">
        <v>7</v>
      </c>
      <c r="U203" s="10">
        <v>4.75</v>
      </c>
      <c r="V203" s="10">
        <v>4</v>
      </c>
      <c r="W203" s="10"/>
    </row>
    <row r="204" spans="2:23" s="9" customFormat="1" x14ac:dyDescent="0.2">
      <c r="B204" s="8" t="s">
        <v>260</v>
      </c>
      <c r="C204" s="10">
        <v>8.74</v>
      </c>
      <c r="D204" s="10">
        <v>5.98</v>
      </c>
      <c r="E204" s="10">
        <v>9</v>
      </c>
      <c r="F204" s="10">
        <v>9</v>
      </c>
      <c r="G204" s="10">
        <v>9</v>
      </c>
      <c r="H204" s="10">
        <v>5</v>
      </c>
      <c r="I204" s="10">
        <v>5</v>
      </c>
      <c r="J204" s="10">
        <v>4</v>
      </c>
      <c r="K204" s="10">
        <v>5.25</v>
      </c>
      <c r="L204" s="10">
        <v>3.5</v>
      </c>
      <c r="M204" s="10">
        <v>1.75</v>
      </c>
      <c r="N204" s="10">
        <v>4.5</v>
      </c>
      <c r="O204" s="10">
        <v>5</v>
      </c>
      <c r="P204" s="10">
        <v>4.5</v>
      </c>
      <c r="Q204" s="10">
        <v>0.75</v>
      </c>
      <c r="R204" s="10">
        <v>0.75</v>
      </c>
      <c r="S204" s="10">
        <v>5.5</v>
      </c>
      <c r="T204" s="10">
        <v>7</v>
      </c>
      <c r="U204" s="10">
        <v>4.75</v>
      </c>
      <c r="V204" s="10">
        <v>4</v>
      </c>
      <c r="W204" s="10"/>
    </row>
    <row r="205" spans="2:23" s="9" customFormat="1" x14ac:dyDescent="0.2">
      <c r="B205" s="8" t="s">
        <v>261</v>
      </c>
      <c r="C205" s="10">
        <v>8.74</v>
      </c>
      <c r="D205" s="10">
        <v>5.98</v>
      </c>
      <c r="E205" s="10">
        <v>9</v>
      </c>
      <c r="F205" s="10">
        <v>9</v>
      </c>
      <c r="G205" s="10">
        <v>9</v>
      </c>
      <c r="H205" s="10">
        <v>5</v>
      </c>
      <c r="I205" s="10">
        <v>5</v>
      </c>
      <c r="J205" s="10">
        <v>4</v>
      </c>
      <c r="K205" s="10">
        <v>5.25</v>
      </c>
      <c r="L205" s="10">
        <v>3.5</v>
      </c>
      <c r="M205" s="10">
        <v>1.75</v>
      </c>
      <c r="N205" s="10">
        <v>4.5</v>
      </c>
      <c r="O205" s="10">
        <v>5</v>
      </c>
      <c r="P205" s="10">
        <v>4.5</v>
      </c>
      <c r="Q205" s="10">
        <v>0.75</v>
      </c>
      <c r="R205" s="10">
        <v>0.75</v>
      </c>
      <c r="S205" s="10">
        <v>5.5</v>
      </c>
      <c r="T205" s="10">
        <v>7</v>
      </c>
      <c r="U205" s="10">
        <v>4.75</v>
      </c>
      <c r="V205" s="10">
        <v>3.75</v>
      </c>
      <c r="W205" s="10"/>
    </row>
    <row r="206" spans="2:23" s="9" customFormat="1" x14ac:dyDescent="0.2">
      <c r="B206" s="8" t="s">
        <v>262</v>
      </c>
      <c r="C206" s="10">
        <v>8.74</v>
      </c>
      <c r="D206" s="10">
        <v>5.98</v>
      </c>
      <c r="E206" s="10">
        <v>9</v>
      </c>
      <c r="F206" s="10">
        <v>9</v>
      </c>
      <c r="G206" s="10">
        <v>9</v>
      </c>
      <c r="H206" s="10">
        <v>5</v>
      </c>
      <c r="I206" s="10">
        <v>5</v>
      </c>
      <c r="J206" s="10">
        <v>4</v>
      </c>
      <c r="K206" s="10">
        <v>5.25</v>
      </c>
      <c r="L206" s="10">
        <v>3.5</v>
      </c>
      <c r="M206" s="10">
        <v>1.75</v>
      </c>
      <c r="N206" s="10">
        <v>4.5</v>
      </c>
      <c r="O206" s="10">
        <v>5</v>
      </c>
      <c r="P206" s="10">
        <v>4.5</v>
      </c>
      <c r="Q206" s="10">
        <v>0.75</v>
      </c>
      <c r="R206" s="10">
        <v>0.75</v>
      </c>
      <c r="S206" s="10">
        <v>5.5</v>
      </c>
      <c r="T206" s="10">
        <v>7</v>
      </c>
      <c r="U206" s="10">
        <v>4.75</v>
      </c>
      <c r="V206" s="10">
        <v>3.75</v>
      </c>
      <c r="W206" s="10"/>
    </row>
    <row r="207" spans="2:23" s="9" customFormat="1" x14ac:dyDescent="0.2">
      <c r="B207" s="8" t="s">
        <v>263</v>
      </c>
      <c r="C207" s="10">
        <v>8.74</v>
      </c>
      <c r="D207" s="10">
        <v>5.98</v>
      </c>
      <c r="E207" s="10">
        <v>9</v>
      </c>
      <c r="F207" s="10">
        <v>9</v>
      </c>
      <c r="G207" s="10">
        <v>9</v>
      </c>
      <c r="H207" s="10">
        <v>5</v>
      </c>
      <c r="I207" s="10">
        <v>5</v>
      </c>
      <c r="J207" s="10">
        <v>4</v>
      </c>
      <c r="K207" s="10">
        <v>5.25</v>
      </c>
      <c r="L207" s="10">
        <v>3.5</v>
      </c>
      <c r="M207" s="10">
        <v>1.75</v>
      </c>
      <c r="N207" s="10">
        <v>4.5</v>
      </c>
      <c r="O207" s="10">
        <v>5</v>
      </c>
      <c r="P207" s="10">
        <v>4.5</v>
      </c>
      <c r="Q207" s="10">
        <v>0.75</v>
      </c>
      <c r="R207" s="10">
        <v>0.75</v>
      </c>
      <c r="S207" s="10">
        <v>5.5</v>
      </c>
      <c r="T207" s="10">
        <v>7</v>
      </c>
      <c r="U207" s="10">
        <v>4.75</v>
      </c>
      <c r="V207" s="10">
        <v>3.75</v>
      </c>
      <c r="W207" s="10"/>
    </row>
    <row r="208" spans="2:23" s="9" customFormat="1" x14ac:dyDescent="0.2">
      <c r="B208" s="8" t="s">
        <v>264</v>
      </c>
      <c r="C208" s="10">
        <v>9.1999999999999993</v>
      </c>
      <c r="D208" s="10"/>
      <c r="E208" s="10">
        <v>9</v>
      </c>
      <c r="F208" s="10">
        <v>9</v>
      </c>
      <c r="G208" s="10">
        <v>9</v>
      </c>
      <c r="H208" s="10">
        <v>5</v>
      </c>
      <c r="I208" s="10">
        <v>5</v>
      </c>
      <c r="J208" s="10">
        <v>4</v>
      </c>
      <c r="K208" s="10">
        <v>5.25</v>
      </c>
      <c r="L208" s="10">
        <v>3.5</v>
      </c>
      <c r="M208" s="10">
        <v>1.75</v>
      </c>
      <c r="N208" s="10">
        <v>4.5</v>
      </c>
      <c r="O208" s="10">
        <v>5</v>
      </c>
      <c r="P208" s="10">
        <v>4.5</v>
      </c>
      <c r="Q208" s="10">
        <v>0.75</v>
      </c>
      <c r="R208" s="10">
        <v>0.75</v>
      </c>
      <c r="S208" s="10">
        <v>5.5</v>
      </c>
      <c r="T208" s="10">
        <v>7</v>
      </c>
      <c r="U208" s="10">
        <v>4.75</v>
      </c>
      <c r="V208" s="10">
        <v>3.75</v>
      </c>
      <c r="W208" s="10"/>
    </row>
    <row r="209" spans="2:23" s="9" customFormat="1" x14ac:dyDescent="0.2">
      <c r="B209" s="8" t="s">
        <v>265</v>
      </c>
      <c r="C209" s="10"/>
      <c r="D209" s="10"/>
      <c r="E209" s="10">
        <v>9</v>
      </c>
      <c r="F209" s="10">
        <v>9</v>
      </c>
      <c r="G209" s="10">
        <v>9</v>
      </c>
      <c r="H209" s="10">
        <v>5</v>
      </c>
      <c r="I209" s="10">
        <v>5</v>
      </c>
      <c r="J209" s="10">
        <v>4</v>
      </c>
      <c r="K209" s="10">
        <v>5.25</v>
      </c>
      <c r="L209" s="10">
        <v>3.5</v>
      </c>
      <c r="M209" s="10">
        <v>1.75</v>
      </c>
      <c r="N209" s="10">
        <v>4.5</v>
      </c>
      <c r="O209" s="10">
        <v>5</v>
      </c>
      <c r="P209" s="10">
        <v>4.5</v>
      </c>
      <c r="Q209" s="10">
        <v>0.75</v>
      </c>
      <c r="R209" s="10">
        <v>0.75</v>
      </c>
      <c r="S209" s="10">
        <v>5.5</v>
      </c>
      <c r="T209" s="10">
        <v>7</v>
      </c>
      <c r="U209" s="10">
        <v>4.75</v>
      </c>
      <c r="V209" s="10">
        <v>3.75</v>
      </c>
      <c r="W209" s="10"/>
    </row>
    <row r="210" spans="2:23" s="9" customFormat="1" x14ac:dyDescent="0.2">
      <c r="B210" s="8" t="s">
        <v>266</v>
      </c>
      <c r="C210" s="10"/>
      <c r="D210" s="10">
        <v>5.98</v>
      </c>
      <c r="E210" s="10">
        <v>9</v>
      </c>
      <c r="F210" s="10">
        <v>9</v>
      </c>
      <c r="G210" s="10">
        <v>9</v>
      </c>
      <c r="H210" s="10">
        <v>5</v>
      </c>
      <c r="I210" s="10">
        <v>5</v>
      </c>
      <c r="J210" s="10">
        <v>4</v>
      </c>
      <c r="K210" s="10">
        <v>5.25</v>
      </c>
      <c r="L210" s="10">
        <v>3.5</v>
      </c>
      <c r="M210" s="10">
        <v>1.75</v>
      </c>
      <c r="N210" s="10">
        <v>4.5</v>
      </c>
      <c r="O210" s="10">
        <v>5</v>
      </c>
      <c r="P210" s="10">
        <v>4</v>
      </c>
      <c r="Q210" s="10">
        <v>0.75</v>
      </c>
      <c r="R210" s="10">
        <v>0.75</v>
      </c>
      <c r="S210" s="10">
        <v>5.5</v>
      </c>
      <c r="T210" s="10">
        <v>7</v>
      </c>
      <c r="U210" s="10">
        <v>4.75</v>
      </c>
      <c r="V210" s="10">
        <v>3.75</v>
      </c>
      <c r="W210" s="10"/>
    </row>
    <row r="211" spans="2:23" s="9" customFormat="1" x14ac:dyDescent="0.2">
      <c r="B211" s="8" t="s">
        <v>267</v>
      </c>
      <c r="C211" s="10">
        <v>9.1999999999999993</v>
      </c>
      <c r="D211" s="10">
        <v>5.98</v>
      </c>
      <c r="E211" s="10">
        <v>9</v>
      </c>
      <c r="F211" s="10">
        <v>9</v>
      </c>
      <c r="G211" s="10">
        <v>9</v>
      </c>
      <c r="H211" s="10">
        <v>5</v>
      </c>
      <c r="I211" s="10">
        <v>5</v>
      </c>
      <c r="J211" s="10">
        <v>4</v>
      </c>
      <c r="K211" s="10">
        <v>5.25</v>
      </c>
      <c r="L211" s="10">
        <v>3.5</v>
      </c>
      <c r="M211" s="10">
        <v>1.75</v>
      </c>
      <c r="N211" s="10">
        <v>4.5</v>
      </c>
      <c r="O211" s="10">
        <v>5</v>
      </c>
      <c r="P211" s="10">
        <v>4</v>
      </c>
      <c r="Q211" s="10">
        <v>0.75</v>
      </c>
      <c r="R211" s="10">
        <v>0.75</v>
      </c>
      <c r="S211" s="10">
        <v>5.5</v>
      </c>
      <c r="T211" s="10">
        <v>7</v>
      </c>
      <c r="U211" s="10">
        <v>4.75</v>
      </c>
      <c r="V211" s="10">
        <v>3.75</v>
      </c>
      <c r="W211" s="10"/>
    </row>
    <row r="212" spans="2:23" s="9" customFormat="1" x14ac:dyDescent="0.2">
      <c r="B212" s="8" t="s">
        <v>268</v>
      </c>
      <c r="C212" s="10">
        <v>9.1999999999999993</v>
      </c>
      <c r="D212" s="10">
        <v>5.98</v>
      </c>
      <c r="E212" s="10">
        <v>9</v>
      </c>
      <c r="F212" s="10">
        <v>9</v>
      </c>
      <c r="G212" s="10">
        <v>9</v>
      </c>
      <c r="H212" s="10">
        <v>5</v>
      </c>
      <c r="I212" s="10">
        <v>5</v>
      </c>
      <c r="J212" s="10">
        <v>4</v>
      </c>
      <c r="K212" s="10">
        <v>5.25</v>
      </c>
      <c r="L212" s="10">
        <v>3.5</v>
      </c>
      <c r="M212" s="10">
        <v>1.75</v>
      </c>
      <c r="N212" s="10">
        <v>4.5</v>
      </c>
      <c r="O212" s="10">
        <v>5</v>
      </c>
      <c r="P212" s="10">
        <v>4</v>
      </c>
      <c r="Q212" s="10">
        <v>0.75</v>
      </c>
      <c r="R212" s="10">
        <v>0.75</v>
      </c>
      <c r="S212" s="10">
        <v>5.5</v>
      </c>
      <c r="T212" s="10">
        <v>7</v>
      </c>
      <c r="U212" s="10">
        <v>4.75</v>
      </c>
      <c r="V212" s="10">
        <v>3.75</v>
      </c>
      <c r="W212" s="10"/>
    </row>
    <row r="213" spans="2:23" s="9" customFormat="1" x14ac:dyDescent="0.2">
      <c r="B213" s="8" t="s">
        <v>269</v>
      </c>
      <c r="C213" s="10">
        <v>9.1999999999999993</v>
      </c>
      <c r="D213" s="10">
        <v>5.98</v>
      </c>
      <c r="E213" s="10">
        <v>9</v>
      </c>
      <c r="F213" s="10">
        <v>9</v>
      </c>
      <c r="G213" s="10">
        <v>9</v>
      </c>
      <c r="H213" s="10">
        <v>5</v>
      </c>
      <c r="I213" s="10">
        <v>5</v>
      </c>
      <c r="J213" s="10">
        <v>4</v>
      </c>
      <c r="K213" s="10">
        <v>5.25</v>
      </c>
      <c r="L213" s="10">
        <v>3.5</v>
      </c>
      <c r="M213" s="10">
        <v>1.75</v>
      </c>
      <c r="N213" s="10">
        <v>4.5</v>
      </c>
      <c r="O213" s="10">
        <v>5</v>
      </c>
      <c r="P213" s="10">
        <v>4</v>
      </c>
      <c r="Q213" s="10">
        <v>0.75</v>
      </c>
      <c r="R213" s="10">
        <v>0.75</v>
      </c>
      <c r="S213" s="10">
        <v>5.5</v>
      </c>
      <c r="T213" s="10">
        <v>7</v>
      </c>
      <c r="U213" s="10">
        <v>4.75</v>
      </c>
      <c r="V213" s="10">
        <v>3.75</v>
      </c>
      <c r="W213" s="10"/>
    </row>
    <row r="214" spans="2:23" s="9" customFormat="1" x14ac:dyDescent="0.2">
      <c r="B214" s="8" t="s">
        <v>270</v>
      </c>
      <c r="C214" s="10">
        <v>9.1999999999999993</v>
      </c>
      <c r="D214" s="10">
        <v>5.98</v>
      </c>
      <c r="E214" s="10">
        <v>9</v>
      </c>
      <c r="F214" s="10">
        <v>9</v>
      </c>
      <c r="G214" s="10">
        <v>9</v>
      </c>
      <c r="H214" s="10">
        <v>5</v>
      </c>
      <c r="I214" s="10">
        <v>5</v>
      </c>
      <c r="J214" s="10">
        <v>4</v>
      </c>
      <c r="K214" s="10">
        <v>5.25</v>
      </c>
      <c r="L214" s="10">
        <v>3.5</v>
      </c>
      <c r="M214" s="10">
        <v>1.75</v>
      </c>
      <c r="N214" s="10">
        <v>4.5</v>
      </c>
      <c r="O214" s="10">
        <v>5</v>
      </c>
      <c r="P214" s="10">
        <v>4</v>
      </c>
      <c r="Q214" s="10">
        <v>0.75</v>
      </c>
      <c r="R214" s="10">
        <v>0.75</v>
      </c>
      <c r="S214" s="10">
        <v>5.5</v>
      </c>
      <c r="T214" s="10">
        <v>6.5</v>
      </c>
      <c r="U214" s="10">
        <v>4.75</v>
      </c>
      <c r="V214" s="10">
        <v>3.75</v>
      </c>
      <c r="W214" s="10"/>
    </row>
    <row r="215" spans="2:23" s="9" customFormat="1" x14ac:dyDescent="0.2">
      <c r="B215" s="8" t="s">
        <v>271</v>
      </c>
      <c r="C215" s="10">
        <v>9.1999999999999993</v>
      </c>
      <c r="D215" s="10"/>
      <c r="E215" s="10">
        <v>9</v>
      </c>
      <c r="F215" s="10">
        <v>9</v>
      </c>
      <c r="G215" s="10">
        <v>9</v>
      </c>
      <c r="H215" s="10">
        <v>5</v>
      </c>
      <c r="I215" s="10">
        <v>5</v>
      </c>
      <c r="J215" s="10">
        <v>4</v>
      </c>
      <c r="K215" s="10">
        <v>5.25</v>
      </c>
      <c r="L215" s="10">
        <v>3.5</v>
      </c>
      <c r="M215" s="10">
        <v>1.75</v>
      </c>
      <c r="N215" s="10">
        <v>4.5</v>
      </c>
      <c r="O215" s="10">
        <v>5</v>
      </c>
      <c r="P215" s="10">
        <v>4</v>
      </c>
      <c r="Q215" s="10">
        <v>0.75</v>
      </c>
      <c r="R215" s="10">
        <v>0.75</v>
      </c>
      <c r="S215" s="10">
        <v>7.5</v>
      </c>
      <c r="T215" s="10">
        <v>6.5</v>
      </c>
      <c r="U215" s="10">
        <v>4.75</v>
      </c>
      <c r="V215" s="10">
        <v>3.75</v>
      </c>
      <c r="W215" s="10"/>
    </row>
    <row r="216" spans="2:23" s="9" customFormat="1" x14ac:dyDescent="0.2">
      <c r="B216" s="8" t="s">
        <v>272</v>
      </c>
      <c r="C216" s="10"/>
      <c r="D216" s="10"/>
      <c r="E216" s="10">
        <v>9</v>
      </c>
      <c r="F216" s="10">
        <v>9</v>
      </c>
      <c r="G216" s="10">
        <v>9</v>
      </c>
      <c r="H216" s="10">
        <v>5</v>
      </c>
      <c r="I216" s="10">
        <v>5</v>
      </c>
      <c r="J216" s="10">
        <v>4</v>
      </c>
      <c r="K216" s="10">
        <v>5.25</v>
      </c>
      <c r="L216" s="10">
        <v>3.5</v>
      </c>
      <c r="M216" s="10">
        <v>1.75</v>
      </c>
      <c r="N216" s="10">
        <v>4.5</v>
      </c>
      <c r="O216" s="10">
        <v>5</v>
      </c>
      <c r="P216" s="10">
        <v>4</v>
      </c>
      <c r="Q216" s="10">
        <v>0.75</v>
      </c>
      <c r="R216" s="10">
        <v>0.75</v>
      </c>
      <c r="S216" s="10">
        <v>7.5</v>
      </c>
      <c r="T216" s="10">
        <v>6.5</v>
      </c>
      <c r="U216" s="10">
        <v>4.75</v>
      </c>
      <c r="V216" s="10">
        <v>3.75</v>
      </c>
      <c r="W216" s="10"/>
    </row>
    <row r="217" spans="2:23" s="9" customFormat="1" x14ac:dyDescent="0.2">
      <c r="B217" s="8" t="s">
        <v>273</v>
      </c>
      <c r="C217" s="10"/>
      <c r="D217" s="10"/>
      <c r="E217" s="10">
        <v>9</v>
      </c>
      <c r="F217" s="10">
        <v>9</v>
      </c>
      <c r="G217" s="10">
        <v>9</v>
      </c>
      <c r="H217" s="10">
        <v>5</v>
      </c>
      <c r="I217" s="10">
        <v>5</v>
      </c>
      <c r="J217" s="10">
        <v>4</v>
      </c>
      <c r="K217" s="10">
        <v>5.25</v>
      </c>
      <c r="L217" s="10">
        <v>3.5</v>
      </c>
      <c r="M217" s="10">
        <v>1.75</v>
      </c>
      <c r="N217" s="10">
        <v>4.5</v>
      </c>
      <c r="O217" s="10">
        <v>5</v>
      </c>
      <c r="P217" s="10">
        <v>4</v>
      </c>
      <c r="Q217" s="10">
        <v>0.75</v>
      </c>
      <c r="R217" s="10">
        <v>0.75</v>
      </c>
      <c r="S217" s="10">
        <v>7.5</v>
      </c>
      <c r="T217" s="10">
        <v>6.5</v>
      </c>
      <c r="U217" s="10">
        <v>4.75</v>
      </c>
      <c r="V217" s="10">
        <v>3.75</v>
      </c>
      <c r="W217" s="10"/>
    </row>
    <row r="218" spans="2:23" x14ac:dyDescent="0.2">
      <c r="B218" s="21" t="s">
        <v>274</v>
      </c>
      <c r="C218" s="12">
        <v>9.1999999999999993</v>
      </c>
      <c r="D218" s="12">
        <v>5.98</v>
      </c>
      <c r="E218" s="12">
        <v>9</v>
      </c>
      <c r="F218" s="12">
        <v>9</v>
      </c>
      <c r="G218" s="12">
        <v>9</v>
      </c>
      <c r="H218" s="12">
        <v>5</v>
      </c>
      <c r="I218" s="12">
        <v>5</v>
      </c>
      <c r="J218" s="12">
        <v>4</v>
      </c>
      <c r="K218" s="12">
        <v>5.25</v>
      </c>
      <c r="L218" s="12">
        <v>3</v>
      </c>
      <c r="M218" s="12">
        <v>1.75</v>
      </c>
      <c r="N218" s="12">
        <v>4.5</v>
      </c>
      <c r="O218" s="12">
        <v>5</v>
      </c>
      <c r="P218" s="12">
        <v>4</v>
      </c>
      <c r="Q218" s="12">
        <v>0.75</v>
      </c>
      <c r="R218" s="12">
        <v>0.75</v>
      </c>
      <c r="S218" s="12">
        <v>7.5</v>
      </c>
      <c r="T218" s="12">
        <v>6.5</v>
      </c>
      <c r="U218" s="22">
        <v>4.75</v>
      </c>
      <c r="V218" s="22">
        <v>3.75</v>
      </c>
      <c r="W218" s="23"/>
    </row>
    <row r="219" spans="2:23" s="9" customFormat="1" x14ac:dyDescent="0.2">
      <c r="B219" s="8" t="s">
        <v>275</v>
      </c>
      <c r="C219" s="10">
        <v>9.1999999999999993</v>
      </c>
      <c r="D219" s="10">
        <v>5.98</v>
      </c>
      <c r="E219" s="10">
        <v>9</v>
      </c>
      <c r="F219" s="10">
        <v>9</v>
      </c>
      <c r="G219" s="10">
        <v>9</v>
      </c>
      <c r="H219" s="10">
        <v>5</v>
      </c>
      <c r="I219" s="10">
        <v>5</v>
      </c>
      <c r="J219" s="10">
        <v>4</v>
      </c>
      <c r="K219" s="10">
        <v>5.25</v>
      </c>
      <c r="L219" s="10">
        <v>3</v>
      </c>
      <c r="M219" s="10">
        <v>1.75</v>
      </c>
      <c r="N219" s="10">
        <v>4.5</v>
      </c>
      <c r="O219" s="10">
        <v>5</v>
      </c>
      <c r="P219" s="10">
        <v>4</v>
      </c>
      <c r="Q219" s="10">
        <v>0.75</v>
      </c>
      <c r="R219" s="10">
        <v>0.75</v>
      </c>
      <c r="S219" s="10">
        <v>7.5</v>
      </c>
      <c r="T219" s="10">
        <v>6.5</v>
      </c>
      <c r="U219" s="10">
        <v>4.75</v>
      </c>
      <c r="V219" s="10">
        <v>3.75</v>
      </c>
      <c r="W219" s="10"/>
    </row>
    <row r="220" spans="2:23" s="9" customFormat="1" x14ac:dyDescent="0.2">
      <c r="B220" s="8" t="s">
        <v>276</v>
      </c>
      <c r="C220" s="10">
        <v>9.1999999999999993</v>
      </c>
      <c r="D220" s="10"/>
      <c r="E220" s="10">
        <v>9</v>
      </c>
      <c r="F220" s="10">
        <v>9</v>
      </c>
      <c r="G220" s="10">
        <v>9</v>
      </c>
      <c r="H220" s="10">
        <v>5</v>
      </c>
      <c r="I220" s="10">
        <v>5</v>
      </c>
      <c r="J220" s="10">
        <v>4</v>
      </c>
      <c r="K220" s="10">
        <v>5.25</v>
      </c>
      <c r="L220" s="10">
        <v>3</v>
      </c>
      <c r="M220" s="10">
        <v>1.75</v>
      </c>
      <c r="N220" s="10">
        <v>4.5</v>
      </c>
      <c r="O220" s="10">
        <v>5</v>
      </c>
      <c r="P220" s="10">
        <v>4</v>
      </c>
      <c r="Q220" s="10">
        <v>0.75</v>
      </c>
      <c r="R220" s="10">
        <v>0.75</v>
      </c>
      <c r="S220" s="10">
        <v>7.5</v>
      </c>
      <c r="T220" s="10">
        <v>6.5</v>
      </c>
      <c r="U220" s="10">
        <v>4.75</v>
      </c>
      <c r="V220" s="10">
        <v>3.75</v>
      </c>
      <c r="W220" s="10"/>
    </row>
    <row r="221" spans="2:23" s="9" customFormat="1" x14ac:dyDescent="0.2">
      <c r="B221" s="8" t="s">
        <v>277</v>
      </c>
      <c r="C221" s="10">
        <v>9.1999999999999993</v>
      </c>
      <c r="D221" s="10">
        <v>5.98</v>
      </c>
      <c r="E221" s="10">
        <v>9</v>
      </c>
      <c r="F221" s="10">
        <v>9</v>
      </c>
      <c r="G221" s="10">
        <v>9</v>
      </c>
      <c r="H221" s="10">
        <v>5</v>
      </c>
      <c r="I221" s="10">
        <v>5</v>
      </c>
      <c r="J221" s="10">
        <v>4</v>
      </c>
      <c r="K221" s="10">
        <v>5.25</v>
      </c>
      <c r="L221" s="10">
        <v>3</v>
      </c>
      <c r="M221" s="10">
        <v>1.75</v>
      </c>
      <c r="N221" s="10">
        <v>4.5</v>
      </c>
      <c r="O221" s="10">
        <v>5</v>
      </c>
      <c r="P221" s="10">
        <v>4</v>
      </c>
      <c r="Q221" s="10">
        <v>0.75</v>
      </c>
      <c r="R221" s="10">
        <v>0.75</v>
      </c>
      <c r="S221" s="10">
        <v>7.5</v>
      </c>
      <c r="T221" s="10">
        <v>6.5</v>
      </c>
      <c r="U221" s="10">
        <v>4.75</v>
      </c>
      <c r="V221" s="10">
        <v>3.75</v>
      </c>
      <c r="W221" s="10"/>
    </row>
    <row r="222" spans="2:23" s="9" customFormat="1" x14ac:dyDescent="0.2">
      <c r="B222" s="8" t="s">
        <v>278</v>
      </c>
      <c r="C222" s="10">
        <v>9.1999999999999993</v>
      </c>
      <c r="D222" s="10"/>
      <c r="E222" s="10">
        <v>9</v>
      </c>
      <c r="F222" s="10">
        <v>9</v>
      </c>
      <c r="G222" s="10">
        <v>9</v>
      </c>
      <c r="H222" s="10">
        <v>5</v>
      </c>
      <c r="I222" s="10">
        <v>5</v>
      </c>
      <c r="J222" s="10">
        <v>4</v>
      </c>
      <c r="K222" s="10">
        <v>5.25</v>
      </c>
      <c r="L222" s="10">
        <v>3</v>
      </c>
      <c r="M222" s="10">
        <v>1.75</v>
      </c>
      <c r="N222" s="10">
        <v>4.5</v>
      </c>
      <c r="O222" s="10">
        <v>5</v>
      </c>
      <c r="P222" s="10">
        <v>4</v>
      </c>
      <c r="Q222" s="10">
        <v>0.75</v>
      </c>
      <c r="R222" s="10">
        <v>0.75</v>
      </c>
      <c r="S222" s="10">
        <v>7.5</v>
      </c>
      <c r="T222" s="10">
        <v>6.5</v>
      </c>
      <c r="U222" s="10">
        <v>4.75</v>
      </c>
      <c r="V222" s="10">
        <v>3.75</v>
      </c>
      <c r="W222" s="10"/>
    </row>
    <row r="223" spans="2:23" s="9" customFormat="1" x14ac:dyDescent="0.2">
      <c r="B223" s="8" t="s">
        <v>279</v>
      </c>
      <c r="C223" s="10"/>
      <c r="D223" s="10"/>
      <c r="E223" s="10">
        <v>9</v>
      </c>
      <c r="F223" s="10">
        <v>9</v>
      </c>
      <c r="G223" s="10">
        <v>9</v>
      </c>
      <c r="H223" s="10">
        <v>5</v>
      </c>
      <c r="I223" s="10">
        <v>5</v>
      </c>
      <c r="J223" s="10">
        <v>4</v>
      </c>
      <c r="K223" s="10">
        <v>5.25</v>
      </c>
      <c r="L223" s="10">
        <v>3</v>
      </c>
      <c r="M223" s="10">
        <v>1.75</v>
      </c>
      <c r="N223" s="10">
        <v>4.5</v>
      </c>
      <c r="O223" s="10">
        <v>5</v>
      </c>
      <c r="P223" s="10">
        <v>4</v>
      </c>
      <c r="Q223" s="10">
        <v>0.75</v>
      </c>
      <c r="R223" s="10">
        <v>0.75</v>
      </c>
      <c r="S223" s="10">
        <v>7.5</v>
      </c>
      <c r="T223" s="10">
        <v>6.5</v>
      </c>
      <c r="U223" s="10">
        <v>4.75</v>
      </c>
      <c r="V223" s="10">
        <v>3.75</v>
      </c>
      <c r="W223" s="10"/>
    </row>
    <row r="224" spans="2:23" s="9" customFormat="1" x14ac:dyDescent="0.2">
      <c r="B224" s="8" t="s">
        <v>280</v>
      </c>
      <c r="C224" s="10"/>
      <c r="D224" s="10">
        <v>5.98</v>
      </c>
      <c r="E224" s="10">
        <v>9</v>
      </c>
      <c r="F224" s="10">
        <v>9</v>
      </c>
      <c r="G224" s="10">
        <v>9</v>
      </c>
      <c r="H224" s="10">
        <v>5</v>
      </c>
      <c r="I224" s="10">
        <v>5</v>
      </c>
      <c r="J224" s="10">
        <v>4</v>
      </c>
      <c r="K224" s="10">
        <v>5.25</v>
      </c>
      <c r="L224" s="10">
        <v>3</v>
      </c>
      <c r="M224" s="10">
        <v>1.75</v>
      </c>
      <c r="N224" s="10">
        <v>4.5</v>
      </c>
      <c r="O224" s="10">
        <v>5</v>
      </c>
      <c r="P224" s="10">
        <v>4</v>
      </c>
      <c r="Q224" s="10">
        <v>0.75</v>
      </c>
      <c r="R224" s="10">
        <v>0.75</v>
      </c>
      <c r="S224" s="10">
        <v>7.5</v>
      </c>
      <c r="T224" s="10">
        <v>6.5</v>
      </c>
      <c r="U224" s="10">
        <v>4.75</v>
      </c>
      <c r="V224" s="10">
        <v>3.75</v>
      </c>
      <c r="W224" s="10"/>
    </row>
    <row r="225" spans="2:23" s="9" customFormat="1" x14ac:dyDescent="0.2">
      <c r="B225" s="8" t="s">
        <v>281</v>
      </c>
      <c r="C225" s="10">
        <v>9.1999999999999993</v>
      </c>
      <c r="D225" s="10">
        <v>5.98</v>
      </c>
      <c r="E225" s="10">
        <v>10</v>
      </c>
      <c r="F225" s="10">
        <v>9</v>
      </c>
      <c r="G225" s="10">
        <v>9</v>
      </c>
      <c r="H225" s="10">
        <v>5</v>
      </c>
      <c r="I225" s="10">
        <v>5</v>
      </c>
      <c r="J225" s="10">
        <v>4</v>
      </c>
      <c r="K225" s="10">
        <v>5.25</v>
      </c>
      <c r="L225" s="10">
        <v>3</v>
      </c>
      <c r="M225" s="10">
        <v>1.75</v>
      </c>
      <c r="N225" s="10">
        <v>4.5</v>
      </c>
      <c r="O225" s="10">
        <v>5</v>
      </c>
      <c r="P225" s="10">
        <v>4</v>
      </c>
      <c r="Q225" s="10">
        <v>0.75</v>
      </c>
      <c r="R225" s="10">
        <v>0.75</v>
      </c>
      <c r="S225" s="10">
        <v>7.5</v>
      </c>
      <c r="T225" s="10">
        <v>6.5</v>
      </c>
      <c r="U225" s="10">
        <v>4.75</v>
      </c>
      <c r="V225" s="10">
        <v>3.75</v>
      </c>
      <c r="W225" s="10"/>
    </row>
    <row r="226" spans="2:23" s="9" customFormat="1" x14ac:dyDescent="0.2">
      <c r="B226" s="8" t="s">
        <v>282</v>
      </c>
      <c r="C226" s="10">
        <v>9.1999999999999993</v>
      </c>
      <c r="D226" s="10">
        <v>5.98</v>
      </c>
      <c r="E226" s="10">
        <v>10</v>
      </c>
      <c r="F226" s="10">
        <v>9</v>
      </c>
      <c r="G226" s="10">
        <v>9</v>
      </c>
      <c r="H226" s="10">
        <v>5</v>
      </c>
      <c r="I226" s="10">
        <v>5</v>
      </c>
      <c r="J226" s="10">
        <v>4</v>
      </c>
      <c r="K226" s="10">
        <v>5.25</v>
      </c>
      <c r="L226" s="10">
        <v>3</v>
      </c>
      <c r="M226" s="10">
        <v>1.75</v>
      </c>
      <c r="N226" s="10">
        <v>4.5</v>
      </c>
      <c r="O226" s="10">
        <v>5</v>
      </c>
      <c r="P226" s="10">
        <v>4</v>
      </c>
      <c r="Q226" s="10">
        <v>0.75</v>
      </c>
      <c r="R226" s="10">
        <v>0.75</v>
      </c>
      <c r="S226" s="10">
        <v>7.5</v>
      </c>
      <c r="T226" s="10">
        <v>6.5</v>
      </c>
      <c r="U226" s="10">
        <v>4.75</v>
      </c>
      <c r="V226" s="10">
        <v>3.75</v>
      </c>
      <c r="W226" s="10"/>
    </row>
    <row r="227" spans="2:23" s="9" customFormat="1" x14ac:dyDescent="0.2">
      <c r="B227" s="8" t="s">
        <v>283</v>
      </c>
      <c r="C227" s="10">
        <v>9.1999999999999993</v>
      </c>
      <c r="D227" s="10">
        <v>5.98</v>
      </c>
      <c r="E227" s="10">
        <v>10</v>
      </c>
      <c r="F227" s="10">
        <v>9</v>
      </c>
      <c r="G227" s="10">
        <v>9</v>
      </c>
      <c r="H227" s="10">
        <v>5</v>
      </c>
      <c r="I227" s="10">
        <v>5</v>
      </c>
      <c r="J227" s="10">
        <v>4</v>
      </c>
      <c r="K227" s="10">
        <v>5.25</v>
      </c>
      <c r="L227" s="10">
        <v>3</v>
      </c>
      <c r="M227" s="10">
        <v>1.75</v>
      </c>
      <c r="N227" s="10">
        <v>4.5</v>
      </c>
      <c r="O227" s="10">
        <v>5</v>
      </c>
      <c r="P227" s="10">
        <v>4</v>
      </c>
      <c r="Q227" s="10">
        <v>0.75</v>
      </c>
      <c r="R227" s="10">
        <v>0.75</v>
      </c>
      <c r="S227" s="10">
        <v>7.5</v>
      </c>
      <c r="T227" s="10">
        <v>6.5</v>
      </c>
      <c r="U227" s="10">
        <v>4.75</v>
      </c>
      <c r="V227" s="10">
        <v>3.75</v>
      </c>
      <c r="W227" s="10"/>
    </row>
    <row r="228" spans="2:23" s="9" customFormat="1" x14ac:dyDescent="0.2">
      <c r="B228" s="8" t="s">
        <v>284</v>
      </c>
      <c r="C228" s="10">
        <v>9.1999999999999993</v>
      </c>
      <c r="D228" s="10">
        <v>5.98</v>
      </c>
      <c r="E228" s="10">
        <v>10</v>
      </c>
      <c r="F228" s="10">
        <v>9</v>
      </c>
      <c r="G228" s="10">
        <v>9</v>
      </c>
      <c r="H228" s="10">
        <v>5</v>
      </c>
      <c r="I228" s="10">
        <v>5</v>
      </c>
      <c r="J228" s="10">
        <v>4</v>
      </c>
      <c r="K228" s="10">
        <v>5.25</v>
      </c>
      <c r="L228" s="10">
        <v>3</v>
      </c>
      <c r="M228" s="10">
        <v>1.75</v>
      </c>
      <c r="N228" s="10">
        <v>4.5</v>
      </c>
      <c r="O228" s="10">
        <v>5</v>
      </c>
      <c r="P228" s="10">
        <v>4</v>
      </c>
      <c r="Q228" s="10">
        <v>0.75</v>
      </c>
      <c r="R228" s="10">
        <v>0.75</v>
      </c>
      <c r="S228" s="10">
        <v>7.5</v>
      </c>
      <c r="T228" s="10">
        <v>6.5</v>
      </c>
      <c r="U228" s="10">
        <v>4.75</v>
      </c>
      <c r="V228" s="10">
        <v>3.75</v>
      </c>
      <c r="W228" s="10"/>
    </row>
    <row r="229" spans="2:23" s="9" customFormat="1" x14ac:dyDescent="0.2">
      <c r="B229" s="8" t="s">
        <v>285</v>
      </c>
      <c r="C229" s="10">
        <v>9.1999999999999993</v>
      </c>
      <c r="D229" s="10"/>
      <c r="E229" s="10">
        <v>10</v>
      </c>
      <c r="F229" s="10">
        <v>9</v>
      </c>
      <c r="G229" s="10">
        <v>9</v>
      </c>
      <c r="H229" s="10">
        <v>5</v>
      </c>
      <c r="I229" s="10">
        <v>5</v>
      </c>
      <c r="J229" s="10">
        <v>4</v>
      </c>
      <c r="K229" s="10">
        <v>5.25</v>
      </c>
      <c r="L229" s="10">
        <v>3</v>
      </c>
      <c r="M229" s="10">
        <v>1.75</v>
      </c>
      <c r="N229" s="10">
        <v>4.5</v>
      </c>
      <c r="O229" s="10">
        <v>5</v>
      </c>
      <c r="P229" s="10">
        <v>4</v>
      </c>
      <c r="Q229" s="10">
        <v>0.75</v>
      </c>
      <c r="R229" s="10">
        <v>0.75</v>
      </c>
      <c r="S229" s="10">
        <v>7.5</v>
      </c>
      <c r="T229" s="10">
        <v>6.5</v>
      </c>
      <c r="U229" s="10">
        <v>4.75</v>
      </c>
      <c r="V229" s="10">
        <v>3.75</v>
      </c>
      <c r="W229" s="10"/>
    </row>
    <row r="230" spans="2:23" s="9" customFormat="1" x14ac:dyDescent="0.2">
      <c r="B230" s="8" t="s">
        <v>286</v>
      </c>
      <c r="C230" s="10"/>
      <c r="D230" s="10"/>
      <c r="E230" s="10">
        <v>10</v>
      </c>
      <c r="F230" s="10">
        <v>9</v>
      </c>
      <c r="G230" s="10">
        <v>9</v>
      </c>
      <c r="H230" s="10">
        <v>5</v>
      </c>
      <c r="I230" s="10">
        <v>5</v>
      </c>
      <c r="J230" s="10">
        <v>4</v>
      </c>
      <c r="K230" s="10">
        <v>5.25</v>
      </c>
      <c r="L230" s="10">
        <v>3</v>
      </c>
      <c r="M230" s="10">
        <v>1.75</v>
      </c>
      <c r="N230" s="10">
        <v>4.5</v>
      </c>
      <c r="O230" s="10">
        <v>5</v>
      </c>
      <c r="P230" s="10">
        <v>4</v>
      </c>
      <c r="Q230" s="10">
        <v>0.75</v>
      </c>
      <c r="R230" s="10">
        <v>0.75</v>
      </c>
      <c r="S230" s="10">
        <v>7.5</v>
      </c>
      <c r="T230" s="10">
        <v>6.5</v>
      </c>
      <c r="U230" s="10">
        <v>4.75</v>
      </c>
      <c r="V230" s="10">
        <v>3.75</v>
      </c>
      <c r="W230" s="10"/>
    </row>
    <row r="231" spans="2:23" s="9" customFormat="1" x14ac:dyDescent="0.2">
      <c r="B231" s="8" t="s">
        <v>287</v>
      </c>
      <c r="C231" s="10"/>
      <c r="D231" s="10">
        <v>5.98</v>
      </c>
      <c r="E231" s="10">
        <v>10</v>
      </c>
      <c r="F231" s="10">
        <v>9</v>
      </c>
      <c r="G231" s="10">
        <v>9</v>
      </c>
      <c r="H231" s="10">
        <v>5</v>
      </c>
      <c r="I231" s="10">
        <v>5</v>
      </c>
      <c r="J231" s="10">
        <v>4</v>
      </c>
      <c r="K231" s="10">
        <v>5.25</v>
      </c>
      <c r="L231" s="10">
        <v>3</v>
      </c>
      <c r="M231" s="10">
        <v>1.75</v>
      </c>
      <c r="N231" s="10">
        <v>4.5</v>
      </c>
      <c r="O231" s="10">
        <v>5</v>
      </c>
      <c r="P231" s="10">
        <v>4</v>
      </c>
      <c r="Q231" s="10">
        <v>0.75</v>
      </c>
      <c r="R231" s="10">
        <v>0.75</v>
      </c>
      <c r="S231" s="10">
        <v>7.5</v>
      </c>
      <c r="T231" s="10">
        <v>6.5</v>
      </c>
      <c r="U231" s="10">
        <v>4.75</v>
      </c>
      <c r="V231" s="10">
        <v>3.75</v>
      </c>
      <c r="W231" s="10"/>
    </row>
    <row r="232" spans="2:23" s="9" customFormat="1" x14ac:dyDescent="0.2">
      <c r="B232" s="8" t="s">
        <v>288</v>
      </c>
      <c r="C232" s="10">
        <v>9.1999999999999993</v>
      </c>
      <c r="D232" s="10">
        <v>5.98</v>
      </c>
      <c r="E232" s="10">
        <v>10</v>
      </c>
      <c r="F232" s="10">
        <v>9</v>
      </c>
      <c r="G232" s="10">
        <v>9</v>
      </c>
      <c r="H232" s="10">
        <v>5</v>
      </c>
      <c r="I232" s="10">
        <v>5</v>
      </c>
      <c r="J232" s="10">
        <v>4</v>
      </c>
      <c r="K232" s="10">
        <v>5.25</v>
      </c>
      <c r="L232" s="10">
        <v>3</v>
      </c>
      <c r="M232" s="10">
        <v>1.75</v>
      </c>
      <c r="N232" s="10">
        <v>4.5</v>
      </c>
      <c r="O232" s="10">
        <v>5</v>
      </c>
      <c r="P232" s="10">
        <v>4</v>
      </c>
      <c r="Q232" s="10">
        <v>0.75</v>
      </c>
      <c r="R232" s="10">
        <v>0.75</v>
      </c>
      <c r="S232" s="10">
        <v>7.5</v>
      </c>
      <c r="T232" s="10">
        <v>6.5</v>
      </c>
      <c r="U232" s="10">
        <v>4.75</v>
      </c>
      <c r="V232" s="10">
        <v>3.75</v>
      </c>
      <c r="W232" s="10"/>
    </row>
    <row r="233" spans="2:23" s="9" customFormat="1" x14ac:dyDescent="0.2">
      <c r="B233" s="8" t="s">
        <v>289</v>
      </c>
      <c r="C233" s="10">
        <v>9.1999999999999993</v>
      </c>
      <c r="D233" s="10">
        <v>5.98</v>
      </c>
      <c r="E233" s="10">
        <v>10</v>
      </c>
      <c r="F233" s="10">
        <v>9</v>
      </c>
      <c r="G233" s="10">
        <v>9</v>
      </c>
      <c r="H233" s="10">
        <v>5</v>
      </c>
      <c r="I233" s="10">
        <v>5</v>
      </c>
      <c r="J233" s="10">
        <v>4</v>
      </c>
      <c r="K233" s="10">
        <v>5.25</v>
      </c>
      <c r="L233" s="10">
        <v>3</v>
      </c>
      <c r="M233" s="10">
        <v>1.75</v>
      </c>
      <c r="N233" s="10">
        <v>4.5</v>
      </c>
      <c r="O233" s="10">
        <v>5</v>
      </c>
      <c r="P233" s="10">
        <v>4</v>
      </c>
      <c r="Q233" s="10">
        <v>0.75</v>
      </c>
      <c r="R233" s="10">
        <v>0.75</v>
      </c>
      <c r="S233" s="10">
        <v>7.5</v>
      </c>
      <c r="T233" s="10">
        <v>6.5</v>
      </c>
      <c r="U233" s="10">
        <v>4.75</v>
      </c>
      <c r="V233" s="10">
        <v>3.75</v>
      </c>
      <c r="W233" s="10"/>
    </row>
    <row r="234" spans="2:23" s="9" customFormat="1" x14ac:dyDescent="0.2">
      <c r="B234" s="8" t="s">
        <v>290</v>
      </c>
      <c r="C234" s="10">
        <v>9.1999999999999993</v>
      </c>
      <c r="D234" s="10">
        <v>5.52</v>
      </c>
      <c r="E234" s="10">
        <v>10</v>
      </c>
      <c r="F234" s="10">
        <v>9</v>
      </c>
      <c r="G234" s="10">
        <v>9</v>
      </c>
      <c r="H234" s="10">
        <v>5</v>
      </c>
      <c r="I234" s="10">
        <v>5</v>
      </c>
      <c r="J234" s="10">
        <v>4</v>
      </c>
      <c r="K234" s="10">
        <v>5.25</v>
      </c>
      <c r="L234" s="10">
        <v>3</v>
      </c>
      <c r="M234" s="10">
        <v>1.75</v>
      </c>
      <c r="N234" s="10">
        <v>4.5</v>
      </c>
      <c r="O234" s="10">
        <v>5</v>
      </c>
      <c r="P234" s="10">
        <v>4</v>
      </c>
      <c r="Q234" s="10">
        <v>0.75</v>
      </c>
      <c r="R234" s="10">
        <v>0.75</v>
      </c>
      <c r="S234" s="10">
        <v>7.5</v>
      </c>
      <c r="T234" s="10">
        <v>6.5</v>
      </c>
      <c r="U234" s="10">
        <v>4.75</v>
      </c>
      <c r="V234" s="10">
        <v>3.75</v>
      </c>
      <c r="W234" s="10"/>
    </row>
    <row r="235" spans="2:23" s="9" customFormat="1" x14ac:dyDescent="0.2">
      <c r="B235" s="8" t="s">
        <v>291</v>
      </c>
      <c r="C235" s="10">
        <v>9.1999999999999993</v>
      </c>
      <c r="D235" s="10">
        <v>5.52</v>
      </c>
      <c r="E235" s="10">
        <v>10</v>
      </c>
      <c r="F235" s="10">
        <v>9</v>
      </c>
      <c r="G235" s="10">
        <v>9</v>
      </c>
      <c r="H235" s="10">
        <v>5</v>
      </c>
      <c r="I235" s="10">
        <v>5</v>
      </c>
      <c r="J235" s="10">
        <v>4</v>
      </c>
      <c r="K235" s="10">
        <v>5.25</v>
      </c>
      <c r="L235" s="10">
        <v>3</v>
      </c>
      <c r="M235" s="10">
        <v>1.75</v>
      </c>
      <c r="N235" s="10">
        <v>4.5</v>
      </c>
      <c r="O235" s="10">
        <v>5</v>
      </c>
      <c r="P235" s="10">
        <v>4</v>
      </c>
      <c r="Q235" s="10">
        <v>0.75</v>
      </c>
      <c r="R235" s="10">
        <v>0.75</v>
      </c>
      <c r="S235" s="10">
        <v>7.5</v>
      </c>
      <c r="T235" s="10">
        <v>6.5</v>
      </c>
      <c r="U235" s="10">
        <v>4.75</v>
      </c>
      <c r="V235" s="10">
        <v>3.75</v>
      </c>
      <c r="W235" s="10"/>
    </row>
    <row r="236" spans="2:23" s="9" customFormat="1" x14ac:dyDescent="0.2">
      <c r="B236" s="8" t="s">
        <v>292</v>
      </c>
      <c r="C236" s="10">
        <v>9.1999999999999993</v>
      </c>
      <c r="D236" s="10"/>
      <c r="E236" s="10">
        <v>10</v>
      </c>
      <c r="F236" s="10">
        <v>9</v>
      </c>
      <c r="G236" s="10">
        <v>9</v>
      </c>
      <c r="H236" s="10">
        <v>5</v>
      </c>
      <c r="I236" s="10">
        <v>5</v>
      </c>
      <c r="J236" s="10">
        <v>4</v>
      </c>
      <c r="K236" s="10">
        <v>5.25</v>
      </c>
      <c r="L236" s="10">
        <v>3</v>
      </c>
      <c r="M236" s="10">
        <v>1.75</v>
      </c>
      <c r="N236" s="10">
        <v>4.5</v>
      </c>
      <c r="O236" s="10">
        <v>5</v>
      </c>
      <c r="P236" s="10">
        <v>4</v>
      </c>
      <c r="Q236" s="10">
        <v>0.75</v>
      </c>
      <c r="R236" s="10">
        <v>0.75</v>
      </c>
      <c r="S236" s="10">
        <v>7.5</v>
      </c>
      <c r="T236" s="10">
        <v>6.5</v>
      </c>
      <c r="U236" s="10">
        <v>4.75</v>
      </c>
      <c r="V236" s="10">
        <v>3.75</v>
      </c>
      <c r="W236" s="10"/>
    </row>
    <row r="237" spans="2:23" s="9" customFormat="1" x14ac:dyDescent="0.2">
      <c r="B237" s="8" t="s">
        <v>293</v>
      </c>
      <c r="C237" s="10"/>
      <c r="D237" s="10"/>
      <c r="E237" s="10">
        <v>10</v>
      </c>
      <c r="F237" s="10">
        <v>9</v>
      </c>
      <c r="G237" s="10">
        <v>7.5</v>
      </c>
      <c r="H237" s="10">
        <v>5</v>
      </c>
      <c r="I237" s="10">
        <v>5</v>
      </c>
      <c r="J237" s="10">
        <v>4</v>
      </c>
      <c r="K237" s="10">
        <v>5.25</v>
      </c>
      <c r="L237" s="10">
        <v>3</v>
      </c>
      <c r="M237" s="10">
        <v>1.75</v>
      </c>
      <c r="N237" s="10">
        <v>4.5</v>
      </c>
      <c r="O237" s="10">
        <v>5</v>
      </c>
      <c r="P237" s="10">
        <v>4</v>
      </c>
      <c r="Q237" s="10">
        <v>0.75</v>
      </c>
      <c r="R237" s="10">
        <v>0.75</v>
      </c>
      <c r="S237" s="10">
        <v>7.5</v>
      </c>
      <c r="T237" s="10">
        <v>6.5</v>
      </c>
      <c r="U237" s="10">
        <v>4.75</v>
      </c>
      <c r="V237" s="10">
        <v>3.75</v>
      </c>
      <c r="W237" s="10"/>
    </row>
    <row r="238" spans="2:23" s="9" customFormat="1" x14ac:dyDescent="0.2">
      <c r="B238" s="8" t="s">
        <v>294</v>
      </c>
      <c r="C238" s="10"/>
      <c r="D238" s="10"/>
      <c r="E238" s="10">
        <v>10</v>
      </c>
      <c r="F238" s="10">
        <v>9</v>
      </c>
      <c r="G238" s="10">
        <v>7.5</v>
      </c>
      <c r="H238" s="10">
        <v>5</v>
      </c>
      <c r="I238" s="10">
        <v>5</v>
      </c>
      <c r="J238" s="10">
        <v>4</v>
      </c>
      <c r="K238" s="10">
        <v>5.25</v>
      </c>
      <c r="L238" s="10">
        <v>3</v>
      </c>
      <c r="M238" s="10">
        <v>1.75</v>
      </c>
      <c r="N238" s="10">
        <v>4.5</v>
      </c>
      <c r="O238" s="10">
        <v>5</v>
      </c>
      <c r="P238" s="10">
        <v>4</v>
      </c>
      <c r="Q238" s="10">
        <v>0.75</v>
      </c>
      <c r="R238" s="10">
        <v>0.75</v>
      </c>
      <c r="S238" s="10">
        <v>7.5</v>
      </c>
      <c r="T238" s="10">
        <v>6.5</v>
      </c>
      <c r="U238" s="10">
        <v>4.75</v>
      </c>
      <c r="V238" s="10">
        <v>3.75</v>
      </c>
      <c r="W238" s="10"/>
    </row>
    <row r="239" spans="2:23" s="9" customFormat="1" x14ac:dyDescent="0.2">
      <c r="B239" s="8" t="s">
        <v>295</v>
      </c>
      <c r="C239" s="10">
        <v>9.1999999999999993</v>
      </c>
      <c r="D239" s="10">
        <v>5.52</v>
      </c>
      <c r="E239" s="10">
        <v>10</v>
      </c>
      <c r="F239" s="10">
        <v>9</v>
      </c>
      <c r="G239" s="10">
        <v>7.5</v>
      </c>
      <c r="H239" s="10">
        <v>5</v>
      </c>
      <c r="I239" s="10">
        <v>5</v>
      </c>
      <c r="J239" s="10">
        <v>4</v>
      </c>
      <c r="K239" s="10">
        <v>5.25</v>
      </c>
      <c r="L239" s="10">
        <v>3</v>
      </c>
      <c r="M239" s="10">
        <v>1.75</v>
      </c>
      <c r="N239" s="10">
        <v>4.5</v>
      </c>
      <c r="O239" s="10">
        <v>5</v>
      </c>
      <c r="P239" s="10">
        <v>4</v>
      </c>
      <c r="Q239" s="10">
        <v>0.75</v>
      </c>
      <c r="R239" s="10">
        <v>0.75</v>
      </c>
      <c r="S239" s="10">
        <v>7.5</v>
      </c>
      <c r="T239" s="10">
        <v>6.5</v>
      </c>
      <c r="U239" s="10">
        <v>4.75</v>
      </c>
      <c r="V239" s="10">
        <v>3.75</v>
      </c>
      <c r="W239" s="10"/>
    </row>
    <row r="240" spans="2:23" s="9" customFormat="1" x14ac:dyDescent="0.2">
      <c r="B240" s="8" t="s">
        <v>296</v>
      </c>
      <c r="C240" s="10">
        <v>9.1999999999999993</v>
      </c>
      <c r="D240" s="10">
        <v>5.52</v>
      </c>
      <c r="E240" s="10">
        <v>10</v>
      </c>
      <c r="F240" s="10">
        <v>9</v>
      </c>
      <c r="G240" s="10">
        <v>7.5</v>
      </c>
      <c r="H240" s="10">
        <v>5</v>
      </c>
      <c r="I240" s="10">
        <v>5</v>
      </c>
      <c r="J240" s="10">
        <v>4</v>
      </c>
      <c r="K240" s="10">
        <v>5.25</v>
      </c>
      <c r="L240" s="10">
        <v>3</v>
      </c>
      <c r="M240" s="10">
        <v>1.75</v>
      </c>
      <c r="N240" s="10">
        <v>4.5</v>
      </c>
      <c r="O240" s="10">
        <v>5</v>
      </c>
      <c r="P240" s="10">
        <v>4</v>
      </c>
      <c r="Q240" s="10">
        <v>0.75</v>
      </c>
      <c r="R240" s="10">
        <v>0.75</v>
      </c>
      <c r="S240" s="10">
        <v>7.5</v>
      </c>
      <c r="T240" s="10">
        <v>6.5</v>
      </c>
      <c r="U240" s="10">
        <v>4.75</v>
      </c>
      <c r="V240" s="10">
        <v>3.75</v>
      </c>
      <c r="W240" s="10"/>
    </row>
    <row r="241" spans="2:23" s="9" customFormat="1" x14ac:dyDescent="0.2">
      <c r="B241" s="8" t="s">
        <v>297</v>
      </c>
      <c r="C241" s="10">
        <v>9.1999999999999993</v>
      </c>
      <c r="D241" s="10">
        <v>5.52</v>
      </c>
      <c r="E241" s="10">
        <v>10</v>
      </c>
      <c r="F241" s="10">
        <v>9</v>
      </c>
      <c r="G241" s="10">
        <v>7.5</v>
      </c>
      <c r="H241" s="10">
        <v>5</v>
      </c>
      <c r="I241" s="10">
        <v>5</v>
      </c>
      <c r="J241" s="10">
        <v>4</v>
      </c>
      <c r="K241" s="10">
        <v>5.25</v>
      </c>
      <c r="L241" s="10">
        <v>3</v>
      </c>
      <c r="M241" s="10">
        <v>1.75</v>
      </c>
      <c r="N241" s="10">
        <v>4.5</v>
      </c>
      <c r="O241" s="10">
        <v>5</v>
      </c>
      <c r="P241" s="10">
        <v>4</v>
      </c>
      <c r="Q241" s="10">
        <v>0.75</v>
      </c>
      <c r="R241" s="10">
        <v>0.75</v>
      </c>
      <c r="S241" s="10">
        <v>7.5</v>
      </c>
      <c r="T241" s="10">
        <v>6.5</v>
      </c>
      <c r="U241" s="10">
        <v>4.75</v>
      </c>
      <c r="V241" s="10">
        <v>3.75</v>
      </c>
      <c r="W241" s="10"/>
    </row>
    <row r="242" spans="2:23" s="9" customFormat="1" x14ac:dyDescent="0.2">
      <c r="B242" s="8" t="s">
        <v>298</v>
      </c>
      <c r="C242" s="10">
        <v>9.1999999999999993</v>
      </c>
      <c r="D242" s="10">
        <v>5.52</v>
      </c>
      <c r="E242" s="10">
        <v>10</v>
      </c>
      <c r="F242" s="10">
        <v>9</v>
      </c>
      <c r="G242" s="10">
        <v>7.5</v>
      </c>
      <c r="H242" s="10">
        <v>5</v>
      </c>
      <c r="I242" s="10">
        <v>5</v>
      </c>
      <c r="J242" s="10">
        <v>4</v>
      </c>
      <c r="K242" s="10">
        <v>5.25</v>
      </c>
      <c r="L242" s="10">
        <v>3</v>
      </c>
      <c r="M242" s="10">
        <v>1.75</v>
      </c>
      <c r="N242" s="10">
        <v>4.5</v>
      </c>
      <c r="O242" s="10">
        <v>5</v>
      </c>
      <c r="P242" s="10">
        <v>4</v>
      </c>
      <c r="Q242" s="10">
        <v>0.75</v>
      </c>
      <c r="R242" s="10">
        <v>0.75</v>
      </c>
      <c r="S242" s="10">
        <v>7.5</v>
      </c>
      <c r="T242" s="10">
        <v>6.5</v>
      </c>
      <c r="U242" s="10">
        <v>4.75</v>
      </c>
      <c r="V242" s="10">
        <v>3.75</v>
      </c>
      <c r="W242" s="10"/>
    </row>
    <row r="243" spans="2:23" s="9" customFormat="1" x14ac:dyDescent="0.2">
      <c r="B243" s="8" t="s">
        <v>299</v>
      </c>
      <c r="C243" s="10">
        <v>9.1999999999999993</v>
      </c>
      <c r="D243" s="10"/>
      <c r="E243" s="10">
        <v>10</v>
      </c>
      <c r="F243" s="10">
        <v>9</v>
      </c>
      <c r="G243" s="10">
        <v>7.5</v>
      </c>
      <c r="H243" s="10">
        <v>5</v>
      </c>
      <c r="I243" s="10">
        <v>5</v>
      </c>
      <c r="J243" s="10">
        <v>4</v>
      </c>
      <c r="K243" s="10">
        <v>5.25</v>
      </c>
      <c r="L243" s="10">
        <v>3</v>
      </c>
      <c r="M243" s="10">
        <v>1.75</v>
      </c>
      <c r="N243" s="10">
        <v>4.5</v>
      </c>
      <c r="O243" s="10">
        <v>5</v>
      </c>
      <c r="P243" s="10">
        <v>4</v>
      </c>
      <c r="Q243" s="10">
        <v>0.75</v>
      </c>
      <c r="R243" s="10">
        <v>0.75</v>
      </c>
      <c r="S243" s="10">
        <v>7.5</v>
      </c>
      <c r="T243" s="10">
        <v>6.5</v>
      </c>
      <c r="U243" s="10">
        <v>4.75</v>
      </c>
      <c r="V243" s="10">
        <v>3.75</v>
      </c>
      <c r="W243" s="10"/>
    </row>
    <row r="244" spans="2:23" s="9" customFormat="1" x14ac:dyDescent="0.2">
      <c r="B244" s="8" t="s">
        <v>300</v>
      </c>
      <c r="C244" s="10"/>
      <c r="D244" s="10"/>
      <c r="E244" s="10">
        <v>10</v>
      </c>
      <c r="F244" s="10">
        <v>9</v>
      </c>
      <c r="G244" s="10">
        <v>7.5</v>
      </c>
      <c r="H244" s="10">
        <v>5</v>
      </c>
      <c r="I244" s="10">
        <v>5</v>
      </c>
      <c r="J244" s="10">
        <v>4</v>
      </c>
      <c r="K244" s="10">
        <v>5.25</v>
      </c>
      <c r="L244" s="10">
        <v>3</v>
      </c>
      <c r="M244" s="10">
        <v>1.75</v>
      </c>
      <c r="N244" s="10">
        <v>4.5</v>
      </c>
      <c r="O244" s="10">
        <v>5</v>
      </c>
      <c r="P244" s="10">
        <v>4</v>
      </c>
      <c r="Q244" s="10">
        <v>0.75</v>
      </c>
      <c r="R244" s="10">
        <v>0.75</v>
      </c>
      <c r="S244" s="10">
        <v>7.5</v>
      </c>
      <c r="T244" s="10">
        <v>6.5</v>
      </c>
      <c r="U244" s="10">
        <v>4.75</v>
      </c>
      <c r="V244" s="10">
        <v>3.75</v>
      </c>
      <c r="W244" s="10"/>
    </row>
    <row r="245" spans="2:23" s="9" customFormat="1" x14ac:dyDescent="0.2">
      <c r="B245" s="8" t="s">
        <v>301</v>
      </c>
      <c r="C245" s="10"/>
      <c r="D245" s="10">
        <v>5.52</v>
      </c>
      <c r="E245" s="10">
        <v>10</v>
      </c>
      <c r="F245" s="10">
        <v>9</v>
      </c>
      <c r="G245" s="10">
        <v>7.5</v>
      </c>
      <c r="H245" s="10">
        <v>5</v>
      </c>
      <c r="I245" s="10">
        <v>5</v>
      </c>
      <c r="J245" s="10">
        <v>4</v>
      </c>
      <c r="K245" s="10">
        <v>5.25</v>
      </c>
      <c r="L245" s="10">
        <v>3</v>
      </c>
      <c r="M245" s="10">
        <v>1.75</v>
      </c>
      <c r="N245" s="10">
        <v>4.5</v>
      </c>
      <c r="O245" s="10">
        <v>5</v>
      </c>
      <c r="P245" s="10">
        <v>4</v>
      </c>
      <c r="Q245" s="10">
        <v>0.75</v>
      </c>
      <c r="R245" s="10">
        <v>0.75</v>
      </c>
      <c r="S245" s="10">
        <v>7.5</v>
      </c>
      <c r="T245" s="10">
        <v>6.5</v>
      </c>
      <c r="U245" s="10">
        <v>4.75</v>
      </c>
      <c r="V245" s="10">
        <v>3.75</v>
      </c>
      <c r="W245" s="10"/>
    </row>
    <row r="246" spans="2:23" s="9" customFormat="1" x14ac:dyDescent="0.2">
      <c r="B246" s="8" t="s">
        <v>302</v>
      </c>
      <c r="C246" s="10">
        <v>9.1999999999999993</v>
      </c>
      <c r="D246" s="10">
        <v>5.52</v>
      </c>
      <c r="E246" s="10">
        <v>10</v>
      </c>
      <c r="F246" s="10">
        <v>9</v>
      </c>
      <c r="G246" s="10">
        <v>7.5</v>
      </c>
      <c r="H246" s="10">
        <v>5</v>
      </c>
      <c r="I246" s="10">
        <v>5</v>
      </c>
      <c r="J246" s="10">
        <v>4</v>
      </c>
      <c r="K246" s="10">
        <v>5.25</v>
      </c>
      <c r="L246" s="10">
        <v>3</v>
      </c>
      <c r="M246" s="10">
        <v>1.75</v>
      </c>
      <c r="N246" s="10">
        <v>4.5</v>
      </c>
      <c r="O246" s="10">
        <v>5</v>
      </c>
      <c r="P246" s="10">
        <v>4</v>
      </c>
      <c r="Q246" s="10">
        <v>0.75</v>
      </c>
      <c r="R246" s="10">
        <v>0.75</v>
      </c>
      <c r="S246" s="10">
        <v>7.5</v>
      </c>
      <c r="T246" s="10">
        <v>6.5</v>
      </c>
      <c r="U246" s="10">
        <v>4.75</v>
      </c>
      <c r="V246" s="10">
        <v>3.75</v>
      </c>
      <c r="W246" s="10"/>
    </row>
    <row r="247" spans="2:23" s="9" customFormat="1" x14ac:dyDescent="0.2">
      <c r="B247" s="8" t="s">
        <v>303</v>
      </c>
      <c r="C247" s="10">
        <v>9.1999999999999993</v>
      </c>
      <c r="D247" s="10">
        <v>5.52</v>
      </c>
      <c r="E247" s="10">
        <v>10</v>
      </c>
      <c r="F247" s="10">
        <v>9</v>
      </c>
      <c r="G247" s="10">
        <v>7.5</v>
      </c>
      <c r="H247" s="10">
        <v>5</v>
      </c>
      <c r="I247" s="10">
        <v>5</v>
      </c>
      <c r="J247" s="10">
        <v>4</v>
      </c>
      <c r="K247" s="10">
        <v>5.25</v>
      </c>
      <c r="L247" s="10">
        <v>3</v>
      </c>
      <c r="M247" s="10">
        <v>1.75</v>
      </c>
      <c r="N247" s="10">
        <v>4.5</v>
      </c>
      <c r="O247" s="10">
        <v>5</v>
      </c>
      <c r="P247" s="10">
        <v>4</v>
      </c>
      <c r="Q247" s="10">
        <v>0.75</v>
      </c>
      <c r="R247" s="10">
        <v>0.75</v>
      </c>
      <c r="S247" s="10">
        <v>7.5</v>
      </c>
      <c r="T247" s="10">
        <v>6.5</v>
      </c>
      <c r="U247" s="10">
        <v>4.75</v>
      </c>
      <c r="V247" s="10">
        <v>3.75</v>
      </c>
      <c r="W247" s="10"/>
    </row>
    <row r="248" spans="2:23" s="9" customFormat="1" x14ac:dyDescent="0.2">
      <c r="B248" s="8" t="s">
        <v>304</v>
      </c>
      <c r="C248" s="10">
        <v>9.1999999999999993</v>
      </c>
      <c r="D248" s="10">
        <v>5.52</v>
      </c>
      <c r="E248" s="10">
        <v>10</v>
      </c>
      <c r="F248" s="10">
        <v>9</v>
      </c>
      <c r="G248" s="10">
        <v>7.5</v>
      </c>
      <c r="H248" s="10">
        <v>5</v>
      </c>
      <c r="I248" s="10">
        <v>5</v>
      </c>
      <c r="J248" s="10">
        <v>4</v>
      </c>
      <c r="K248" s="10">
        <v>5.25</v>
      </c>
      <c r="L248" s="10">
        <v>3</v>
      </c>
      <c r="M248" s="10">
        <v>1.75</v>
      </c>
      <c r="N248" s="10">
        <v>4.5</v>
      </c>
      <c r="O248" s="10">
        <v>5</v>
      </c>
      <c r="P248" s="10">
        <v>4</v>
      </c>
      <c r="Q248" s="10">
        <v>0.75</v>
      </c>
      <c r="R248" s="10">
        <v>0.75</v>
      </c>
      <c r="S248" s="10">
        <v>7.5</v>
      </c>
      <c r="T248" s="10">
        <v>6.5</v>
      </c>
      <c r="U248" s="10">
        <v>4.75</v>
      </c>
      <c r="V248" s="10">
        <v>3.75</v>
      </c>
      <c r="W248" s="10"/>
    </row>
    <row r="249" spans="2:23" x14ac:dyDescent="0.2">
      <c r="B249" s="21" t="s">
        <v>305</v>
      </c>
      <c r="C249" s="12">
        <v>9.1999999999999993</v>
      </c>
      <c r="D249" s="12">
        <v>5.52</v>
      </c>
      <c r="E249" s="12">
        <v>10</v>
      </c>
      <c r="F249" s="12">
        <v>9</v>
      </c>
      <c r="G249" s="12">
        <v>7.5</v>
      </c>
      <c r="H249" s="12">
        <v>5</v>
      </c>
      <c r="I249" s="12">
        <v>5</v>
      </c>
      <c r="J249" s="12">
        <v>4</v>
      </c>
      <c r="K249" s="12">
        <v>5.25</v>
      </c>
      <c r="L249" s="12">
        <v>3</v>
      </c>
      <c r="M249" s="12">
        <v>1.75</v>
      </c>
      <c r="N249" s="12">
        <v>4.5</v>
      </c>
      <c r="O249" s="12">
        <v>5</v>
      </c>
      <c r="P249" s="12">
        <v>4</v>
      </c>
      <c r="Q249" s="12">
        <v>0.75</v>
      </c>
      <c r="R249" s="12">
        <v>0.75</v>
      </c>
      <c r="S249" s="12">
        <v>7.5</v>
      </c>
      <c r="T249" s="12">
        <v>6.5</v>
      </c>
      <c r="U249" s="22">
        <v>4.75</v>
      </c>
      <c r="V249" s="22">
        <v>3.75</v>
      </c>
      <c r="W249" s="23"/>
    </row>
    <row r="250" spans="2:23" s="9" customFormat="1" x14ac:dyDescent="0.2">
      <c r="B250" s="8" t="s">
        <v>306</v>
      </c>
      <c r="C250" s="10">
        <v>9.1999999999999993</v>
      </c>
      <c r="D250" s="10"/>
      <c r="E250" s="10">
        <v>10</v>
      </c>
      <c r="F250" s="10">
        <v>9</v>
      </c>
      <c r="G250" s="10">
        <v>7.5</v>
      </c>
      <c r="H250" s="10">
        <v>5</v>
      </c>
      <c r="I250" s="10">
        <v>5</v>
      </c>
      <c r="J250" s="10">
        <v>4</v>
      </c>
      <c r="K250" s="10">
        <v>5.25</v>
      </c>
      <c r="L250" s="10">
        <v>3</v>
      </c>
      <c r="M250" s="10">
        <v>1.75</v>
      </c>
      <c r="N250" s="10">
        <v>4.5</v>
      </c>
      <c r="O250" s="10">
        <v>5</v>
      </c>
      <c r="P250" s="10">
        <v>4</v>
      </c>
      <c r="Q250" s="10">
        <v>0.75</v>
      </c>
      <c r="R250" s="10">
        <v>0.75</v>
      </c>
      <c r="S250" s="10">
        <v>7.5</v>
      </c>
      <c r="T250" s="10">
        <v>6.5</v>
      </c>
      <c r="U250" s="10">
        <v>4.75</v>
      </c>
      <c r="V250" s="10">
        <v>3.75</v>
      </c>
      <c r="W250" s="10"/>
    </row>
    <row r="251" spans="2:23" s="9" customFormat="1" x14ac:dyDescent="0.2">
      <c r="B251" s="8" t="s">
        <v>307</v>
      </c>
      <c r="C251" s="10"/>
      <c r="D251" s="10"/>
      <c r="E251" s="10">
        <v>10</v>
      </c>
      <c r="F251" s="10">
        <v>9</v>
      </c>
      <c r="G251" s="10">
        <v>7.5</v>
      </c>
      <c r="H251" s="10">
        <v>5</v>
      </c>
      <c r="I251" s="10">
        <v>5</v>
      </c>
      <c r="J251" s="10">
        <v>4</v>
      </c>
      <c r="K251" s="10">
        <v>5.25</v>
      </c>
      <c r="L251" s="10">
        <v>3</v>
      </c>
      <c r="M251" s="10">
        <v>1.75</v>
      </c>
      <c r="N251" s="10">
        <v>4.5</v>
      </c>
      <c r="O251" s="10">
        <v>5</v>
      </c>
      <c r="P251" s="10">
        <v>4</v>
      </c>
      <c r="Q251" s="10">
        <v>0.75</v>
      </c>
      <c r="R251" s="10">
        <v>0.75</v>
      </c>
      <c r="S251" s="10">
        <v>7.5</v>
      </c>
      <c r="T251" s="10">
        <v>6.5</v>
      </c>
      <c r="U251" s="10">
        <v>4.75</v>
      </c>
      <c r="V251" s="10">
        <v>3.75</v>
      </c>
      <c r="W251" s="10"/>
    </row>
    <row r="252" spans="2:23" s="9" customFormat="1" x14ac:dyDescent="0.2">
      <c r="B252" s="8" t="s">
        <v>308</v>
      </c>
      <c r="C252" s="10"/>
      <c r="D252" s="10">
        <v>5.52</v>
      </c>
      <c r="E252" s="10">
        <v>10</v>
      </c>
      <c r="F252" s="10">
        <v>9</v>
      </c>
      <c r="G252" s="10">
        <v>7.5</v>
      </c>
      <c r="H252" s="10">
        <v>5</v>
      </c>
      <c r="I252" s="10">
        <v>5</v>
      </c>
      <c r="J252" s="10">
        <v>4</v>
      </c>
      <c r="K252" s="10">
        <v>5.25</v>
      </c>
      <c r="L252" s="10">
        <v>3</v>
      </c>
      <c r="M252" s="10">
        <v>1.75</v>
      </c>
      <c r="N252" s="10">
        <v>4.5</v>
      </c>
      <c r="O252" s="10">
        <v>5</v>
      </c>
      <c r="P252" s="10">
        <v>4</v>
      </c>
      <c r="Q252" s="10">
        <v>0.75</v>
      </c>
      <c r="R252" s="10">
        <v>0.75</v>
      </c>
      <c r="S252" s="10">
        <v>7.5</v>
      </c>
      <c r="T252" s="10">
        <v>6.5</v>
      </c>
      <c r="U252" s="10">
        <v>4.75</v>
      </c>
      <c r="V252" s="10">
        <v>3.75</v>
      </c>
      <c r="W252" s="10"/>
    </row>
    <row r="253" spans="2:23" s="9" customFormat="1" x14ac:dyDescent="0.2">
      <c r="B253" s="8" t="s">
        <v>309</v>
      </c>
      <c r="C253" s="10">
        <v>9.1999999999999993</v>
      </c>
      <c r="D253" s="10">
        <v>5.52</v>
      </c>
      <c r="E253" s="10">
        <v>10</v>
      </c>
      <c r="F253" s="10">
        <v>9</v>
      </c>
      <c r="G253" s="10">
        <v>7.5</v>
      </c>
      <c r="H253" s="10">
        <v>5</v>
      </c>
      <c r="I253" s="10">
        <v>5</v>
      </c>
      <c r="J253" s="10">
        <v>4</v>
      </c>
      <c r="K253" s="10">
        <v>5.25</v>
      </c>
      <c r="L253" s="10">
        <v>3</v>
      </c>
      <c r="M253" s="10">
        <v>1.75</v>
      </c>
      <c r="N253" s="10">
        <v>4.5</v>
      </c>
      <c r="O253" s="10">
        <v>5</v>
      </c>
      <c r="P253" s="10">
        <v>4</v>
      </c>
      <c r="Q253" s="10">
        <v>0.75</v>
      </c>
      <c r="R253" s="10">
        <v>0.75</v>
      </c>
      <c r="S253" s="10">
        <v>7.5</v>
      </c>
      <c r="T253" s="10">
        <v>6.5</v>
      </c>
      <c r="U253" s="10">
        <v>4.75</v>
      </c>
      <c r="V253" s="10">
        <v>3.75</v>
      </c>
      <c r="W253" s="10"/>
    </row>
    <row r="254" spans="2:23" s="9" customFormat="1" x14ac:dyDescent="0.2">
      <c r="B254" s="8" t="s">
        <v>310</v>
      </c>
      <c r="C254" s="10">
        <v>9.1999999999999993</v>
      </c>
      <c r="D254" s="10">
        <v>5.52</v>
      </c>
      <c r="E254" s="10">
        <v>10</v>
      </c>
      <c r="F254" s="10">
        <v>9</v>
      </c>
      <c r="G254" s="10">
        <v>7.5</v>
      </c>
      <c r="H254" s="10">
        <v>5</v>
      </c>
      <c r="I254" s="10">
        <v>5</v>
      </c>
      <c r="J254" s="10">
        <v>4</v>
      </c>
      <c r="K254" s="10">
        <v>5.25</v>
      </c>
      <c r="L254" s="10">
        <v>3</v>
      </c>
      <c r="M254" s="10">
        <v>1.75</v>
      </c>
      <c r="N254" s="10">
        <v>4.5</v>
      </c>
      <c r="O254" s="10">
        <v>5</v>
      </c>
      <c r="P254" s="10">
        <v>4</v>
      </c>
      <c r="Q254" s="10">
        <v>0.75</v>
      </c>
      <c r="R254" s="10">
        <v>0.75</v>
      </c>
      <c r="S254" s="10">
        <v>7.5</v>
      </c>
      <c r="T254" s="10">
        <v>6.5</v>
      </c>
      <c r="U254" s="10">
        <v>4.75</v>
      </c>
      <c r="V254" s="10">
        <v>3.75</v>
      </c>
      <c r="W254" s="10"/>
    </row>
    <row r="255" spans="2:23" s="9" customFormat="1" x14ac:dyDescent="0.2">
      <c r="B255" s="8" t="s">
        <v>311</v>
      </c>
      <c r="C255" s="10">
        <v>9.1999999999999993</v>
      </c>
      <c r="D255" s="10">
        <v>5.52</v>
      </c>
      <c r="E255" s="10">
        <v>10</v>
      </c>
      <c r="F255" s="10">
        <v>9</v>
      </c>
      <c r="G255" s="10">
        <v>7.5</v>
      </c>
      <c r="H255" s="10">
        <v>5</v>
      </c>
      <c r="I255" s="10">
        <v>5</v>
      </c>
      <c r="J255" s="10">
        <v>4</v>
      </c>
      <c r="K255" s="10">
        <v>5.25</v>
      </c>
      <c r="L255" s="10">
        <v>3</v>
      </c>
      <c r="M255" s="10">
        <v>1.75</v>
      </c>
      <c r="N255" s="10">
        <v>4.5</v>
      </c>
      <c r="O255" s="10">
        <v>5</v>
      </c>
      <c r="P255" s="10">
        <v>4</v>
      </c>
      <c r="Q255" s="10">
        <v>0.75</v>
      </c>
      <c r="R255" s="10">
        <v>0.75</v>
      </c>
      <c r="S255" s="10">
        <v>7.5</v>
      </c>
      <c r="T255" s="10">
        <v>6.5</v>
      </c>
      <c r="U255" s="10">
        <v>4.75</v>
      </c>
      <c r="V255" s="10">
        <v>3.75</v>
      </c>
      <c r="W255" s="10"/>
    </row>
    <row r="256" spans="2:23" s="9" customFormat="1" x14ac:dyDescent="0.2">
      <c r="B256" s="8" t="s">
        <v>312</v>
      </c>
      <c r="C256" s="10">
        <v>9.1999999999999993</v>
      </c>
      <c r="D256" s="10">
        <v>5.52</v>
      </c>
      <c r="E256" s="10">
        <v>10</v>
      </c>
      <c r="F256" s="10">
        <v>9</v>
      </c>
      <c r="G256" s="10">
        <v>7.5</v>
      </c>
      <c r="H256" s="10">
        <v>5</v>
      </c>
      <c r="I256" s="10">
        <v>5</v>
      </c>
      <c r="J256" s="10">
        <v>4</v>
      </c>
      <c r="K256" s="10">
        <v>5.25</v>
      </c>
      <c r="L256" s="10">
        <v>3</v>
      </c>
      <c r="M256" s="10">
        <v>1.75</v>
      </c>
      <c r="N256" s="10">
        <v>4.5</v>
      </c>
      <c r="O256" s="10">
        <v>5</v>
      </c>
      <c r="P256" s="10">
        <v>4</v>
      </c>
      <c r="Q256" s="10">
        <v>0.75</v>
      </c>
      <c r="R256" s="10">
        <v>0.75</v>
      </c>
      <c r="S256" s="10">
        <v>7.5</v>
      </c>
      <c r="T256" s="10">
        <v>6.5</v>
      </c>
      <c r="U256" s="10">
        <v>4.75</v>
      </c>
      <c r="V256" s="10">
        <v>3.75</v>
      </c>
      <c r="W256" s="10"/>
    </row>
    <row r="257" spans="2:23" s="9" customFormat="1" x14ac:dyDescent="0.2">
      <c r="B257" s="8" t="s">
        <v>313</v>
      </c>
      <c r="C257" s="10">
        <v>9.1999999999999993</v>
      </c>
      <c r="D257" s="10"/>
      <c r="E257" s="10">
        <v>10</v>
      </c>
      <c r="F257" s="10">
        <v>9</v>
      </c>
      <c r="G257" s="10">
        <v>7.5</v>
      </c>
      <c r="H257" s="10">
        <v>5</v>
      </c>
      <c r="I257" s="10">
        <v>5</v>
      </c>
      <c r="J257" s="10">
        <v>4</v>
      </c>
      <c r="K257" s="10">
        <v>5.25</v>
      </c>
      <c r="L257" s="10">
        <v>3</v>
      </c>
      <c r="M257" s="10">
        <v>1.75</v>
      </c>
      <c r="N257" s="10">
        <v>4.5</v>
      </c>
      <c r="O257" s="10">
        <v>5</v>
      </c>
      <c r="P257" s="10">
        <v>4</v>
      </c>
      <c r="Q257" s="10">
        <v>0.75</v>
      </c>
      <c r="R257" s="10">
        <v>0.75</v>
      </c>
      <c r="S257" s="10">
        <v>7.5</v>
      </c>
      <c r="T257" s="10">
        <v>6.5</v>
      </c>
      <c r="U257" s="10">
        <v>4.75</v>
      </c>
      <c r="V257" s="10">
        <v>3.75</v>
      </c>
      <c r="W257" s="10"/>
    </row>
    <row r="258" spans="2:23" s="9" customFormat="1" x14ac:dyDescent="0.2">
      <c r="B258" s="8" t="s">
        <v>314</v>
      </c>
      <c r="C258" s="10"/>
      <c r="D258" s="10"/>
      <c r="E258" s="10">
        <v>10</v>
      </c>
      <c r="F258" s="10">
        <v>9</v>
      </c>
      <c r="G258" s="10">
        <v>7.5</v>
      </c>
      <c r="H258" s="10">
        <v>5</v>
      </c>
      <c r="I258" s="10">
        <v>5</v>
      </c>
      <c r="J258" s="10">
        <v>4</v>
      </c>
      <c r="K258" s="10">
        <v>5.25</v>
      </c>
      <c r="L258" s="10">
        <v>3</v>
      </c>
      <c r="M258" s="10">
        <v>1.75</v>
      </c>
      <c r="N258" s="10">
        <v>4.5</v>
      </c>
      <c r="O258" s="10">
        <v>5</v>
      </c>
      <c r="P258" s="10">
        <v>4</v>
      </c>
      <c r="Q258" s="10">
        <v>0.75</v>
      </c>
      <c r="R258" s="10">
        <v>0.75</v>
      </c>
      <c r="S258" s="10">
        <v>7.5</v>
      </c>
      <c r="T258" s="10">
        <v>6.5</v>
      </c>
      <c r="U258" s="10">
        <v>4.75</v>
      </c>
      <c r="V258" s="10">
        <v>3.75</v>
      </c>
      <c r="W258" s="10"/>
    </row>
    <row r="259" spans="2:23" s="9" customFormat="1" x14ac:dyDescent="0.2">
      <c r="B259" s="8" t="s">
        <v>315</v>
      </c>
      <c r="C259" s="10"/>
      <c r="D259" s="10">
        <v>5.52</v>
      </c>
      <c r="E259" s="10">
        <v>10</v>
      </c>
      <c r="F259" s="10">
        <v>9</v>
      </c>
      <c r="G259" s="10">
        <v>7.5</v>
      </c>
      <c r="H259" s="10">
        <v>5</v>
      </c>
      <c r="I259" s="10">
        <v>5</v>
      </c>
      <c r="J259" s="10">
        <v>4</v>
      </c>
      <c r="K259" s="10">
        <v>5.25</v>
      </c>
      <c r="L259" s="10">
        <v>3</v>
      </c>
      <c r="M259" s="10">
        <v>1.75</v>
      </c>
      <c r="N259" s="10">
        <v>4.5</v>
      </c>
      <c r="O259" s="10">
        <v>5</v>
      </c>
      <c r="P259" s="10">
        <v>4</v>
      </c>
      <c r="Q259" s="10">
        <v>0.75</v>
      </c>
      <c r="R259" s="10">
        <v>0.75</v>
      </c>
      <c r="S259" s="10">
        <v>7.5</v>
      </c>
      <c r="T259" s="10">
        <v>6.5</v>
      </c>
      <c r="U259" s="10">
        <v>4.75</v>
      </c>
      <c r="V259" s="10">
        <v>3.75</v>
      </c>
      <c r="W259" s="10"/>
    </row>
    <row r="260" spans="2:23" s="9" customFormat="1" x14ac:dyDescent="0.2">
      <c r="B260" s="8" t="s">
        <v>316</v>
      </c>
      <c r="C260" s="10">
        <v>9.1999999999999993</v>
      </c>
      <c r="D260" s="10">
        <v>5.52</v>
      </c>
      <c r="E260" s="10">
        <v>10</v>
      </c>
      <c r="F260" s="10">
        <v>9</v>
      </c>
      <c r="G260" s="10">
        <v>7.5</v>
      </c>
      <c r="H260" s="10">
        <v>5</v>
      </c>
      <c r="I260" s="10">
        <v>5</v>
      </c>
      <c r="J260" s="10">
        <v>4</v>
      </c>
      <c r="K260" s="10">
        <v>5.25</v>
      </c>
      <c r="L260" s="10">
        <v>3</v>
      </c>
      <c r="M260" s="10">
        <v>1.75</v>
      </c>
      <c r="N260" s="10">
        <v>4.5</v>
      </c>
      <c r="O260" s="10">
        <v>5</v>
      </c>
      <c r="P260" s="10">
        <v>4</v>
      </c>
      <c r="Q260" s="10">
        <v>0.75</v>
      </c>
      <c r="R260" s="10">
        <v>0.75</v>
      </c>
      <c r="S260" s="10">
        <v>7.5</v>
      </c>
      <c r="T260" s="10">
        <v>6.5</v>
      </c>
      <c r="U260" s="10">
        <v>4.75</v>
      </c>
      <c r="V260" s="10">
        <v>3.75</v>
      </c>
      <c r="W260" s="10"/>
    </row>
    <row r="261" spans="2:23" s="9" customFormat="1" x14ac:dyDescent="0.2">
      <c r="B261" s="8" t="s">
        <v>317</v>
      </c>
      <c r="C261" s="10">
        <v>9.1999999999999993</v>
      </c>
      <c r="D261" s="10">
        <v>5.52</v>
      </c>
      <c r="E261" s="10">
        <v>10</v>
      </c>
      <c r="F261" s="10">
        <v>9</v>
      </c>
      <c r="G261" s="10">
        <v>7.5</v>
      </c>
      <c r="H261" s="10">
        <v>5</v>
      </c>
      <c r="I261" s="10">
        <v>5</v>
      </c>
      <c r="J261" s="10">
        <v>4</v>
      </c>
      <c r="K261" s="10">
        <v>5.25</v>
      </c>
      <c r="L261" s="10">
        <v>3</v>
      </c>
      <c r="M261" s="10">
        <v>1.75</v>
      </c>
      <c r="N261" s="10">
        <v>4.5</v>
      </c>
      <c r="O261" s="10">
        <v>5</v>
      </c>
      <c r="P261" s="10">
        <v>4</v>
      </c>
      <c r="Q261" s="10">
        <v>0.75</v>
      </c>
      <c r="R261" s="10">
        <v>0.75</v>
      </c>
      <c r="S261" s="10">
        <v>7.5</v>
      </c>
      <c r="T261" s="10">
        <v>6.5</v>
      </c>
      <c r="U261" s="10">
        <v>4.75</v>
      </c>
      <c r="V261" s="10">
        <v>3.75</v>
      </c>
      <c r="W261" s="10"/>
    </row>
    <row r="262" spans="2:23" s="9" customFormat="1" x14ac:dyDescent="0.2">
      <c r="B262" s="8" t="s">
        <v>318</v>
      </c>
      <c r="C262" s="10">
        <v>9.1999999999999993</v>
      </c>
      <c r="D262" s="10">
        <v>5.52</v>
      </c>
      <c r="E262" s="10">
        <v>10</v>
      </c>
      <c r="F262" s="10">
        <v>9</v>
      </c>
      <c r="G262" s="10">
        <v>7.5</v>
      </c>
      <c r="H262" s="10">
        <v>5</v>
      </c>
      <c r="I262" s="10">
        <v>5</v>
      </c>
      <c r="J262" s="10">
        <v>4</v>
      </c>
      <c r="K262" s="10">
        <v>5.25</v>
      </c>
      <c r="L262" s="10">
        <v>3</v>
      </c>
      <c r="M262" s="10">
        <v>1.75</v>
      </c>
      <c r="N262" s="10">
        <v>4.5</v>
      </c>
      <c r="O262" s="10">
        <v>5</v>
      </c>
      <c r="P262" s="10">
        <v>4</v>
      </c>
      <c r="Q262" s="10">
        <v>0.75</v>
      </c>
      <c r="R262" s="10">
        <v>0.75</v>
      </c>
      <c r="S262" s="10">
        <v>7.5</v>
      </c>
      <c r="T262" s="10">
        <v>6.5</v>
      </c>
      <c r="U262" s="10">
        <v>4.75</v>
      </c>
      <c r="V262" s="10">
        <v>3.75</v>
      </c>
      <c r="W262" s="10"/>
    </row>
    <row r="263" spans="2:23" s="9" customFormat="1" x14ac:dyDescent="0.2">
      <c r="B263" s="8" t="s">
        <v>319</v>
      </c>
      <c r="C263" s="10">
        <v>9.1999999999999993</v>
      </c>
      <c r="D263" s="10">
        <v>5.52</v>
      </c>
      <c r="E263" s="10">
        <v>10</v>
      </c>
      <c r="F263" s="10">
        <v>9</v>
      </c>
      <c r="G263" s="10">
        <v>7.5</v>
      </c>
      <c r="H263" s="10">
        <v>5</v>
      </c>
      <c r="I263" s="10">
        <v>5</v>
      </c>
      <c r="J263" s="10">
        <v>4</v>
      </c>
      <c r="K263" s="10">
        <v>5.25</v>
      </c>
      <c r="L263" s="10">
        <v>3</v>
      </c>
      <c r="M263" s="10">
        <v>1.75</v>
      </c>
      <c r="N263" s="10">
        <v>4.5</v>
      </c>
      <c r="O263" s="10">
        <v>5</v>
      </c>
      <c r="P263" s="10">
        <v>4</v>
      </c>
      <c r="Q263" s="10">
        <v>0.75</v>
      </c>
      <c r="R263" s="10">
        <v>0.75</v>
      </c>
      <c r="S263" s="10">
        <v>7.5</v>
      </c>
      <c r="T263" s="10">
        <v>6.5</v>
      </c>
      <c r="U263" s="10">
        <v>4.75</v>
      </c>
      <c r="V263" s="10">
        <v>3.75</v>
      </c>
      <c r="W263" s="10"/>
    </row>
    <row r="264" spans="2:23" s="9" customFormat="1" x14ac:dyDescent="0.2">
      <c r="B264" s="8" t="s">
        <v>320</v>
      </c>
      <c r="C264" s="10">
        <v>9.1999999999999993</v>
      </c>
      <c r="D264" s="10"/>
      <c r="E264" s="10">
        <v>10</v>
      </c>
      <c r="F264" s="10">
        <v>9</v>
      </c>
      <c r="G264" s="10">
        <v>7.5</v>
      </c>
      <c r="H264" s="10">
        <v>5</v>
      </c>
      <c r="I264" s="10">
        <v>5</v>
      </c>
      <c r="J264" s="10">
        <v>4</v>
      </c>
      <c r="K264" s="10">
        <v>5.25</v>
      </c>
      <c r="L264" s="10">
        <v>3</v>
      </c>
      <c r="M264" s="10">
        <v>1.75</v>
      </c>
      <c r="N264" s="10">
        <v>4.5</v>
      </c>
      <c r="O264" s="10">
        <v>5</v>
      </c>
      <c r="P264" s="10">
        <v>4</v>
      </c>
      <c r="Q264" s="10">
        <v>0.75</v>
      </c>
      <c r="R264" s="10">
        <v>0.75</v>
      </c>
      <c r="S264" s="10">
        <v>8.5</v>
      </c>
      <c r="T264" s="10">
        <v>6.5</v>
      </c>
      <c r="U264" s="10">
        <v>4.75</v>
      </c>
      <c r="V264" s="10">
        <v>3.75</v>
      </c>
      <c r="W264" s="10"/>
    </row>
    <row r="265" spans="2:23" s="9" customFormat="1" x14ac:dyDescent="0.2">
      <c r="B265" s="8" t="s">
        <v>321</v>
      </c>
      <c r="C265" s="10"/>
      <c r="D265" s="10"/>
      <c r="E265" s="10">
        <v>10</v>
      </c>
      <c r="F265" s="10">
        <v>9</v>
      </c>
      <c r="G265" s="10">
        <v>7.5</v>
      </c>
      <c r="H265" s="10">
        <v>5</v>
      </c>
      <c r="I265" s="10">
        <v>5</v>
      </c>
      <c r="J265" s="10">
        <v>4</v>
      </c>
      <c r="K265" s="10">
        <v>5.25</v>
      </c>
      <c r="L265" s="10">
        <v>3</v>
      </c>
      <c r="M265" s="10">
        <v>1.75</v>
      </c>
      <c r="N265" s="10">
        <v>4.5</v>
      </c>
      <c r="O265" s="10">
        <v>5</v>
      </c>
      <c r="P265" s="10">
        <v>4</v>
      </c>
      <c r="Q265" s="10">
        <v>0.75</v>
      </c>
      <c r="R265" s="10">
        <v>0.75</v>
      </c>
      <c r="S265" s="10">
        <v>8.5</v>
      </c>
      <c r="T265" s="10">
        <v>6.5</v>
      </c>
      <c r="U265" s="10">
        <v>4.75</v>
      </c>
      <c r="V265" s="10">
        <v>3.75</v>
      </c>
      <c r="W265" s="10"/>
    </row>
    <row r="266" spans="2:23" s="9" customFormat="1" x14ac:dyDescent="0.2">
      <c r="B266" s="8" t="s">
        <v>322</v>
      </c>
      <c r="C266" s="10"/>
      <c r="D266" s="10">
        <v>5.52</v>
      </c>
      <c r="E266" s="10">
        <v>10</v>
      </c>
      <c r="F266" s="10">
        <v>9</v>
      </c>
      <c r="G266" s="10">
        <v>7.5</v>
      </c>
      <c r="H266" s="10">
        <v>5</v>
      </c>
      <c r="I266" s="10">
        <v>5</v>
      </c>
      <c r="J266" s="10">
        <v>4</v>
      </c>
      <c r="K266" s="10">
        <v>5.25</v>
      </c>
      <c r="L266" s="10">
        <v>3</v>
      </c>
      <c r="M266" s="10">
        <v>1.75</v>
      </c>
      <c r="N266" s="10">
        <v>4.5</v>
      </c>
      <c r="O266" s="10">
        <v>5</v>
      </c>
      <c r="P266" s="10">
        <v>4</v>
      </c>
      <c r="Q266" s="10">
        <v>0.75</v>
      </c>
      <c r="R266" s="10">
        <v>0.75</v>
      </c>
      <c r="S266" s="10">
        <v>8.5</v>
      </c>
      <c r="T266" s="10">
        <v>6.5</v>
      </c>
      <c r="U266" s="10">
        <v>4.75</v>
      </c>
      <c r="V266" s="10">
        <v>3.75</v>
      </c>
      <c r="W266" s="10"/>
    </row>
    <row r="267" spans="2:23" s="9" customFormat="1" x14ac:dyDescent="0.2">
      <c r="B267" s="8" t="s">
        <v>323</v>
      </c>
      <c r="C267" s="10">
        <v>9.1999999999999993</v>
      </c>
      <c r="D267" s="10">
        <v>5.52</v>
      </c>
      <c r="E267" s="10">
        <v>10</v>
      </c>
      <c r="F267" s="10">
        <v>9</v>
      </c>
      <c r="G267" s="10">
        <v>7.5</v>
      </c>
      <c r="H267" s="10">
        <v>5</v>
      </c>
      <c r="I267" s="10">
        <v>5</v>
      </c>
      <c r="J267" s="10">
        <v>4</v>
      </c>
      <c r="K267" s="10">
        <v>5.25</v>
      </c>
      <c r="L267" s="10">
        <v>3</v>
      </c>
      <c r="M267" s="10">
        <v>1.75</v>
      </c>
      <c r="N267" s="10">
        <v>4.5</v>
      </c>
      <c r="O267" s="10">
        <v>5</v>
      </c>
      <c r="P267" s="10">
        <v>4</v>
      </c>
      <c r="Q267" s="10">
        <v>0.75</v>
      </c>
      <c r="R267" s="10">
        <v>0.75</v>
      </c>
      <c r="S267" s="10">
        <v>8.5</v>
      </c>
      <c r="T267" s="10">
        <v>6.5</v>
      </c>
      <c r="U267" s="10">
        <v>4.75</v>
      </c>
      <c r="V267" s="10">
        <v>3.75</v>
      </c>
      <c r="W267" s="10"/>
    </row>
    <row r="268" spans="2:23" s="9" customFormat="1" x14ac:dyDescent="0.2">
      <c r="B268" s="8" t="s">
        <v>324</v>
      </c>
      <c r="C268" s="10">
        <v>9.1999999999999993</v>
      </c>
      <c r="D268" s="10">
        <v>5.52</v>
      </c>
      <c r="E268" s="10">
        <v>10</v>
      </c>
      <c r="F268" s="10">
        <v>9</v>
      </c>
      <c r="G268" s="10">
        <v>7.5</v>
      </c>
      <c r="H268" s="10">
        <v>5</v>
      </c>
      <c r="I268" s="10">
        <v>5</v>
      </c>
      <c r="J268" s="10">
        <v>4</v>
      </c>
      <c r="K268" s="10">
        <v>5.25</v>
      </c>
      <c r="L268" s="10">
        <v>3</v>
      </c>
      <c r="M268" s="10">
        <v>1.75</v>
      </c>
      <c r="N268" s="10">
        <v>4.5</v>
      </c>
      <c r="O268" s="10">
        <v>5</v>
      </c>
      <c r="P268" s="10">
        <v>3.75</v>
      </c>
      <c r="Q268" s="10">
        <v>0.75</v>
      </c>
      <c r="R268" s="10">
        <v>0.75</v>
      </c>
      <c r="S268" s="10">
        <v>8.5</v>
      </c>
      <c r="T268" s="10">
        <v>6.5</v>
      </c>
      <c r="U268" s="10">
        <v>4.75</v>
      </c>
      <c r="V268" s="10">
        <v>3.5</v>
      </c>
      <c r="W268" s="10"/>
    </row>
    <row r="269" spans="2:23" s="9" customFormat="1" x14ac:dyDescent="0.2">
      <c r="B269" s="8" t="s">
        <v>325</v>
      </c>
      <c r="C269" s="10">
        <v>9.1999999999999993</v>
      </c>
      <c r="D269" s="10">
        <v>5.52</v>
      </c>
      <c r="E269" s="10">
        <v>10</v>
      </c>
      <c r="F269" s="10">
        <v>9</v>
      </c>
      <c r="G269" s="10">
        <v>7.5</v>
      </c>
      <c r="H269" s="10">
        <v>5</v>
      </c>
      <c r="I269" s="10">
        <v>5</v>
      </c>
      <c r="J269" s="10">
        <v>4</v>
      </c>
      <c r="K269" s="10">
        <v>5.25</v>
      </c>
      <c r="L269" s="10">
        <v>3</v>
      </c>
      <c r="M269" s="10">
        <v>1.75</v>
      </c>
      <c r="N269" s="10">
        <v>4.5</v>
      </c>
      <c r="O269" s="10">
        <v>5</v>
      </c>
      <c r="P269" s="10">
        <v>3.75</v>
      </c>
      <c r="Q269" s="10">
        <v>0.75</v>
      </c>
      <c r="R269" s="10">
        <v>0.75</v>
      </c>
      <c r="S269" s="10">
        <v>8.5</v>
      </c>
      <c r="T269" s="10">
        <v>6.5</v>
      </c>
      <c r="U269" s="10">
        <v>4.25</v>
      </c>
      <c r="V269" s="10">
        <v>3.5</v>
      </c>
      <c r="W269" s="10"/>
    </row>
    <row r="270" spans="2:23" s="9" customFormat="1" x14ac:dyDescent="0.2">
      <c r="B270" s="8" t="s">
        <v>326</v>
      </c>
      <c r="C270" s="10">
        <v>9.1999999999999993</v>
      </c>
      <c r="D270" s="10">
        <v>5.52</v>
      </c>
      <c r="E270" s="10">
        <v>10</v>
      </c>
      <c r="F270" s="10">
        <v>9</v>
      </c>
      <c r="G270" s="10">
        <v>7.5</v>
      </c>
      <c r="H270" s="10">
        <v>5</v>
      </c>
      <c r="I270" s="10">
        <v>5</v>
      </c>
      <c r="J270" s="10">
        <v>4</v>
      </c>
      <c r="K270" s="10">
        <v>5.25</v>
      </c>
      <c r="L270" s="10">
        <v>3</v>
      </c>
      <c r="M270" s="10">
        <v>1.75</v>
      </c>
      <c r="N270" s="10">
        <v>4.5</v>
      </c>
      <c r="O270" s="10">
        <v>5</v>
      </c>
      <c r="P270" s="10">
        <v>3.75</v>
      </c>
      <c r="Q270" s="10">
        <v>0.75</v>
      </c>
      <c r="R270" s="10">
        <v>0.75</v>
      </c>
      <c r="S270" s="10">
        <v>8.5</v>
      </c>
      <c r="T270" s="10">
        <v>6.5</v>
      </c>
      <c r="U270" s="10">
        <v>4.25</v>
      </c>
      <c r="V270" s="10">
        <v>3.5</v>
      </c>
      <c r="W270" s="10"/>
    </row>
    <row r="271" spans="2:23" s="9" customFormat="1" x14ac:dyDescent="0.2">
      <c r="B271" s="8" t="s">
        <v>327</v>
      </c>
      <c r="C271" s="10">
        <v>9.1999999999999993</v>
      </c>
      <c r="D271" s="10"/>
      <c r="E271" s="10">
        <v>10</v>
      </c>
      <c r="F271" s="10">
        <v>9</v>
      </c>
      <c r="G271" s="10">
        <v>7.5</v>
      </c>
      <c r="H271" s="10">
        <v>5</v>
      </c>
      <c r="I271" s="10">
        <v>5</v>
      </c>
      <c r="J271" s="10">
        <v>4</v>
      </c>
      <c r="K271" s="10">
        <v>5.25</v>
      </c>
      <c r="L271" s="10">
        <v>3</v>
      </c>
      <c r="M271" s="10">
        <v>1.75</v>
      </c>
      <c r="N271" s="10">
        <v>4.5</v>
      </c>
      <c r="O271" s="10">
        <v>5</v>
      </c>
      <c r="P271" s="10">
        <v>3.75</v>
      </c>
      <c r="Q271" s="10">
        <v>0.75</v>
      </c>
      <c r="R271" s="10">
        <v>0.75</v>
      </c>
      <c r="S271" s="10">
        <v>8.5</v>
      </c>
      <c r="T271" s="10">
        <v>6.5</v>
      </c>
      <c r="U271" s="10">
        <v>4.25</v>
      </c>
      <c r="V271" s="10">
        <v>3.5</v>
      </c>
      <c r="W271" s="10"/>
    </row>
    <row r="272" spans="2:23" s="9" customFormat="1" x14ac:dyDescent="0.2">
      <c r="B272" s="8" t="s">
        <v>328</v>
      </c>
      <c r="C272" s="10"/>
      <c r="D272" s="10"/>
      <c r="E272" s="10">
        <v>10</v>
      </c>
      <c r="F272" s="10">
        <v>9</v>
      </c>
      <c r="G272" s="10">
        <v>7.5</v>
      </c>
      <c r="H272" s="10">
        <v>5</v>
      </c>
      <c r="I272" s="10">
        <v>5</v>
      </c>
      <c r="J272" s="10">
        <v>4</v>
      </c>
      <c r="K272" s="10">
        <v>5.25</v>
      </c>
      <c r="L272" s="10">
        <v>3</v>
      </c>
      <c r="M272" s="10">
        <v>1.75</v>
      </c>
      <c r="N272" s="10">
        <v>4.5</v>
      </c>
      <c r="O272" s="10">
        <v>5</v>
      </c>
      <c r="P272" s="10">
        <v>3.75</v>
      </c>
      <c r="Q272" s="10">
        <v>0.75</v>
      </c>
      <c r="R272" s="10">
        <v>0.75</v>
      </c>
      <c r="S272" s="10">
        <v>8.5</v>
      </c>
      <c r="T272" s="10">
        <v>6.5</v>
      </c>
      <c r="U272" s="10">
        <v>4.25</v>
      </c>
      <c r="V272" s="10">
        <v>3.5</v>
      </c>
      <c r="W272" s="10"/>
    </row>
    <row r="273" spans="2:23" s="9" customFormat="1" x14ac:dyDescent="0.2">
      <c r="B273" s="8" t="s">
        <v>329</v>
      </c>
      <c r="C273" s="10"/>
      <c r="D273" s="10">
        <v>5.52</v>
      </c>
      <c r="E273" s="10">
        <v>10</v>
      </c>
      <c r="F273" s="10">
        <v>9</v>
      </c>
      <c r="G273" s="10">
        <v>7.5</v>
      </c>
      <c r="H273" s="10">
        <v>5</v>
      </c>
      <c r="I273" s="10">
        <v>5</v>
      </c>
      <c r="J273" s="10">
        <v>4</v>
      </c>
      <c r="K273" s="10">
        <v>5.25</v>
      </c>
      <c r="L273" s="10">
        <v>3</v>
      </c>
      <c r="M273" s="10">
        <v>1.75</v>
      </c>
      <c r="N273" s="10">
        <v>4.5</v>
      </c>
      <c r="O273" s="10">
        <v>5</v>
      </c>
      <c r="P273" s="10">
        <v>3.75</v>
      </c>
      <c r="Q273" s="10">
        <v>0.75</v>
      </c>
      <c r="R273" s="10">
        <v>0.75</v>
      </c>
      <c r="S273" s="10">
        <v>8.5</v>
      </c>
      <c r="T273" s="10">
        <v>6.5</v>
      </c>
      <c r="U273" s="10">
        <v>4.25</v>
      </c>
      <c r="V273" s="10">
        <v>3.5</v>
      </c>
      <c r="W273" s="10"/>
    </row>
    <row r="274" spans="2:23" s="9" customFormat="1" x14ac:dyDescent="0.2">
      <c r="B274" s="8" t="s">
        <v>330</v>
      </c>
      <c r="C274" s="10">
        <v>9.1999999999999993</v>
      </c>
      <c r="D274" s="10">
        <v>5.52</v>
      </c>
      <c r="E274" s="10">
        <v>10</v>
      </c>
      <c r="F274" s="10">
        <v>9</v>
      </c>
      <c r="G274" s="10">
        <v>7.5</v>
      </c>
      <c r="H274" s="10">
        <v>5</v>
      </c>
      <c r="I274" s="10">
        <v>5</v>
      </c>
      <c r="J274" s="10">
        <v>4</v>
      </c>
      <c r="K274" s="10">
        <v>5.25</v>
      </c>
      <c r="L274" s="10">
        <v>3</v>
      </c>
      <c r="M274" s="10">
        <v>1.75</v>
      </c>
      <c r="N274" s="10">
        <v>4.5</v>
      </c>
      <c r="O274" s="10">
        <v>5</v>
      </c>
      <c r="P274" s="10">
        <v>3.75</v>
      </c>
      <c r="Q274" s="10">
        <v>0.75</v>
      </c>
      <c r="R274" s="10">
        <v>0.75</v>
      </c>
      <c r="S274" s="10">
        <v>8.5</v>
      </c>
      <c r="T274" s="10">
        <v>6.5</v>
      </c>
      <c r="U274" s="10">
        <v>4.25</v>
      </c>
      <c r="V274" s="10">
        <v>3.5</v>
      </c>
      <c r="W274" s="10"/>
    </row>
    <row r="275" spans="2:23" s="9" customFormat="1" x14ac:dyDescent="0.2">
      <c r="B275" s="8" t="s">
        <v>331</v>
      </c>
      <c r="C275" s="10">
        <v>9.1999999999999993</v>
      </c>
      <c r="D275" s="10">
        <v>5.52</v>
      </c>
      <c r="E275" s="10">
        <v>10</v>
      </c>
      <c r="F275" s="10">
        <v>9</v>
      </c>
      <c r="G275" s="10">
        <v>7.5</v>
      </c>
      <c r="H275" s="10">
        <v>5</v>
      </c>
      <c r="I275" s="10">
        <v>5</v>
      </c>
      <c r="J275" s="10">
        <v>4</v>
      </c>
      <c r="K275" s="10">
        <v>5.25</v>
      </c>
      <c r="L275" s="10">
        <v>3</v>
      </c>
      <c r="M275" s="10">
        <v>1.75</v>
      </c>
      <c r="N275" s="10">
        <v>4.5</v>
      </c>
      <c r="O275" s="10">
        <v>5</v>
      </c>
      <c r="P275" s="10">
        <v>3.75</v>
      </c>
      <c r="Q275" s="10">
        <v>0.75</v>
      </c>
      <c r="R275" s="10">
        <v>0.75</v>
      </c>
      <c r="S275" s="10">
        <v>8.5</v>
      </c>
      <c r="T275" s="10">
        <v>6.5</v>
      </c>
      <c r="U275" s="10">
        <v>4.25</v>
      </c>
      <c r="V275" s="10">
        <v>3.5</v>
      </c>
      <c r="W275" s="10"/>
    </row>
    <row r="276" spans="2:23" s="9" customFormat="1" x14ac:dyDescent="0.2">
      <c r="B276" s="8" t="s">
        <v>332</v>
      </c>
      <c r="C276" s="10">
        <v>9.1999999999999993</v>
      </c>
      <c r="D276" s="10">
        <v>5.52</v>
      </c>
      <c r="E276" s="10">
        <v>10</v>
      </c>
      <c r="F276" s="10">
        <v>9</v>
      </c>
      <c r="G276" s="10">
        <v>7.5</v>
      </c>
      <c r="H276" s="10">
        <v>5</v>
      </c>
      <c r="I276" s="10">
        <v>5</v>
      </c>
      <c r="J276" s="10">
        <v>4</v>
      </c>
      <c r="K276" s="10">
        <v>5.25</v>
      </c>
      <c r="L276" s="10">
        <v>3</v>
      </c>
      <c r="M276" s="10">
        <v>1.75</v>
      </c>
      <c r="N276" s="10">
        <v>4.5</v>
      </c>
      <c r="O276" s="10">
        <v>5</v>
      </c>
      <c r="P276" s="10">
        <v>3.75</v>
      </c>
      <c r="Q276" s="10">
        <v>0.75</v>
      </c>
      <c r="R276" s="10">
        <v>0.75</v>
      </c>
      <c r="S276" s="10">
        <v>8.5</v>
      </c>
      <c r="T276" s="10">
        <v>6.5</v>
      </c>
      <c r="U276" s="10">
        <v>4.25</v>
      </c>
      <c r="V276" s="10">
        <v>3.5</v>
      </c>
      <c r="W276" s="10"/>
    </row>
    <row r="277" spans="2:23" s="9" customFormat="1" x14ac:dyDescent="0.2">
      <c r="B277" s="8" t="s">
        <v>333</v>
      </c>
      <c r="C277" s="10">
        <v>9.1999999999999993</v>
      </c>
      <c r="D277" s="10">
        <v>5.52</v>
      </c>
      <c r="E277" s="10">
        <v>10</v>
      </c>
      <c r="F277" s="10">
        <v>9</v>
      </c>
      <c r="G277" s="10">
        <v>7.5</v>
      </c>
      <c r="H277" s="10">
        <v>5</v>
      </c>
      <c r="I277" s="10">
        <v>5</v>
      </c>
      <c r="J277" s="10">
        <v>4</v>
      </c>
      <c r="K277" s="10">
        <v>5.25</v>
      </c>
      <c r="L277" s="10">
        <v>3</v>
      </c>
      <c r="M277" s="10">
        <v>1.75</v>
      </c>
      <c r="N277" s="10">
        <v>4.5</v>
      </c>
      <c r="O277" s="10">
        <v>5</v>
      </c>
      <c r="P277" s="10">
        <v>3.75</v>
      </c>
      <c r="Q277" s="10">
        <v>0.75</v>
      </c>
      <c r="R277" s="10">
        <v>0.75</v>
      </c>
      <c r="S277" s="10">
        <v>8.5</v>
      </c>
      <c r="T277" s="10">
        <v>6.5</v>
      </c>
      <c r="U277" s="10">
        <v>4.25</v>
      </c>
      <c r="V277" s="10">
        <v>3.5</v>
      </c>
      <c r="W277" s="10"/>
    </row>
    <row r="278" spans="2:23" s="9" customFormat="1" x14ac:dyDescent="0.2">
      <c r="B278" s="8" t="s">
        <v>334</v>
      </c>
      <c r="C278" s="10">
        <v>9.1999999999999993</v>
      </c>
      <c r="D278" s="10"/>
      <c r="E278" s="10">
        <v>10</v>
      </c>
      <c r="F278" s="10">
        <v>9</v>
      </c>
      <c r="G278" s="10">
        <v>7.5</v>
      </c>
      <c r="H278" s="10">
        <v>5</v>
      </c>
      <c r="I278" s="10">
        <v>5</v>
      </c>
      <c r="J278" s="10">
        <v>4</v>
      </c>
      <c r="K278" s="10">
        <v>5.25</v>
      </c>
      <c r="L278" s="10">
        <v>3</v>
      </c>
      <c r="M278" s="10">
        <v>1.75</v>
      </c>
      <c r="N278" s="10">
        <v>4.5</v>
      </c>
      <c r="O278" s="10">
        <v>5</v>
      </c>
      <c r="P278" s="10">
        <v>3.75</v>
      </c>
      <c r="Q278" s="10">
        <v>0.75</v>
      </c>
      <c r="R278" s="10">
        <v>0.75</v>
      </c>
      <c r="S278" s="10">
        <v>8.5</v>
      </c>
      <c r="T278" s="10">
        <v>6.5</v>
      </c>
      <c r="U278" s="10">
        <v>4.25</v>
      </c>
      <c r="V278" s="10">
        <v>3.5</v>
      </c>
      <c r="W278" s="10"/>
    </row>
    <row r="279" spans="2:23" x14ac:dyDescent="0.2">
      <c r="B279" s="21" t="s">
        <v>335</v>
      </c>
      <c r="C279" s="12"/>
      <c r="D279" s="12"/>
      <c r="E279" s="12">
        <v>10</v>
      </c>
      <c r="F279" s="12">
        <v>9</v>
      </c>
      <c r="G279" s="12">
        <v>7.5</v>
      </c>
      <c r="H279" s="12">
        <v>5</v>
      </c>
      <c r="I279" s="12">
        <v>5</v>
      </c>
      <c r="J279" s="12">
        <v>4</v>
      </c>
      <c r="K279" s="12">
        <v>5.25</v>
      </c>
      <c r="L279" s="12">
        <v>3</v>
      </c>
      <c r="M279" s="12">
        <v>1.75</v>
      </c>
      <c r="N279" s="12">
        <v>4.5</v>
      </c>
      <c r="O279" s="12">
        <v>5</v>
      </c>
      <c r="P279" s="12">
        <v>3.75</v>
      </c>
      <c r="Q279" s="12">
        <v>0.75</v>
      </c>
      <c r="R279" s="12">
        <v>0.75</v>
      </c>
      <c r="S279" s="12">
        <v>8.5</v>
      </c>
      <c r="T279" s="12">
        <v>6.5</v>
      </c>
      <c r="U279" s="22">
        <v>4.25</v>
      </c>
      <c r="V279" s="22">
        <v>3.5</v>
      </c>
      <c r="W279" s="23"/>
    </row>
    <row r="280" spans="2:23" s="9" customFormat="1" x14ac:dyDescent="0.2">
      <c r="B280" s="8" t="s">
        <v>336</v>
      </c>
      <c r="C280" s="10"/>
      <c r="D280" s="10">
        <v>5.52</v>
      </c>
      <c r="E280" s="10">
        <v>10</v>
      </c>
      <c r="F280" s="10">
        <v>9</v>
      </c>
      <c r="G280" s="10">
        <v>7.5</v>
      </c>
      <c r="H280" s="10">
        <v>5</v>
      </c>
      <c r="I280" s="10">
        <v>5</v>
      </c>
      <c r="J280" s="10">
        <v>4</v>
      </c>
      <c r="K280" s="10">
        <v>5.25</v>
      </c>
      <c r="L280" s="10">
        <v>3</v>
      </c>
      <c r="M280" s="10">
        <v>1.75</v>
      </c>
      <c r="N280" s="10">
        <v>4.5</v>
      </c>
      <c r="O280" s="10">
        <v>5</v>
      </c>
      <c r="P280" s="10">
        <v>3.75</v>
      </c>
      <c r="Q280" s="10">
        <v>0.75</v>
      </c>
      <c r="R280" s="10">
        <v>0.75</v>
      </c>
      <c r="S280" s="10">
        <v>8.5</v>
      </c>
      <c r="T280" s="10">
        <v>6.5</v>
      </c>
      <c r="U280" s="10">
        <v>4.25</v>
      </c>
      <c r="V280" s="10">
        <v>3.5</v>
      </c>
      <c r="W280" s="10"/>
    </row>
    <row r="281" spans="2:23" s="9" customFormat="1" x14ac:dyDescent="0.2">
      <c r="B281" s="8" t="s">
        <v>337</v>
      </c>
      <c r="C281" s="10">
        <v>9.1999999999999993</v>
      </c>
      <c r="D281" s="10">
        <v>5.52</v>
      </c>
      <c r="E281" s="10">
        <v>10</v>
      </c>
      <c r="F281" s="10">
        <v>9</v>
      </c>
      <c r="G281" s="10">
        <v>7.5</v>
      </c>
      <c r="H281" s="10">
        <v>5</v>
      </c>
      <c r="I281" s="10">
        <v>5</v>
      </c>
      <c r="J281" s="10">
        <v>4</v>
      </c>
      <c r="K281" s="10">
        <v>5.25</v>
      </c>
      <c r="L281" s="10">
        <v>3</v>
      </c>
      <c r="M281" s="10">
        <v>1.75</v>
      </c>
      <c r="N281" s="10">
        <v>4.5</v>
      </c>
      <c r="O281" s="10">
        <v>5</v>
      </c>
      <c r="P281" s="10">
        <v>3.75</v>
      </c>
      <c r="Q281" s="10">
        <v>0.75</v>
      </c>
      <c r="R281" s="10">
        <v>0.75</v>
      </c>
      <c r="S281" s="10">
        <v>8.5</v>
      </c>
      <c r="T281" s="10">
        <v>6.5</v>
      </c>
      <c r="U281" s="10">
        <v>4.25</v>
      </c>
      <c r="V281" s="10">
        <v>3.5</v>
      </c>
      <c r="W281" s="10"/>
    </row>
    <row r="282" spans="2:23" s="9" customFormat="1" x14ac:dyDescent="0.2">
      <c r="B282" s="8" t="s">
        <v>338</v>
      </c>
      <c r="C282" s="10">
        <v>9.1999999999999993</v>
      </c>
      <c r="D282" s="10">
        <v>5.52</v>
      </c>
      <c r="E282" s="10">
        <v>10</v>
      </c>
      <c r="F282" s="10">
        <v>9</v>
      </c>
      <c r="G282" s="10">
        <v>7.5</v>
      </c>
      <c r="H282" s="10">
        <v>5</v>
      </c>
      <c r="I282" s="10">
        <v>5</v>
      </c>
      <c r="J282" s="10">
        <v>4</v>
      </c>
      <c r="K282" s="10">
        <v>5.25</v>
      </c>
      <c r="L282" s="10">
        <v>3</v>
      </c>
      <c r="M282" s="10">
        <v>1.75</v>
      </c>
      <c r="N282" s="10">
        <v>4.5</v>
      </c>
      <c r="O282" s="10">
        <v>5</v>
      </c>
      <c r="P282" s="10">
        <v>3.75</v>
      </c>
      <c r="Q282" s="10">
        <v>0.75</v>
      </c>
      <c r="R282" s="10">
        <v>0.75</v>
      </c>
      <c r="S282" s="10">
        <v>8.5</v>
      </c>
      <c r="T282" s="10">
        <v>6.5</v>
      </c>
      <c r="U282" s="10">
        <v>4.25</v>
      </c>
      <c r="V282" s="10">
        <v>3.5</v>
      </c>
      <c r="W282" s="10"/>
    </row>
    <row r="283" spans="2:23" s="9" customFormat="1" x14ac:dyDescent="0.2">
      <c r="B283" s="8" t="s">
        <v>339</v>
      </c>
      <c r="C283" s="10">
        <v>9.1999999999999993</v>
      </c>
      <c r="D283" s="10">
        <v>5.52</v>
      </c>
      <c r="E283" s="10">
        <v>10</v>
      </c>
      <c r="F283" s="10">
        <v>9</v>
      </c>
      <c r="G283" s="10">
        <v>7.5</v>
      </c>
      <c r="H283" s="10">
        <v>5</v>
      </c>
      <c r="I283" s="10">
        <v>5</v>
      </c>
      <c r="J283" s="10">
        <v>4</v>
      </c>
      <c r="K283" s="10">
        <v>5.25</v>
      </c>
      <c r="L283" s="10">
        <v>3</v>
      </c>
      <c r="M283" s="10">
        <v>1.75</v>
      </c>
      <c r="N283" s="10">
        <v>4.5</v>
      </c>
      <c r="O283" s="10">
        <v>5</v>
      </c>
      <c r="P283" s="10">
        <v>3.75</v>
      </c>
      <c r="Q283" s="10">
        <v>0.75</v>
      </c>
      <c r="R283" s="10">
        <v>0.75</v>
      </c>
      <c r="S283" s="10">
        <v>8.5</v>
      </c>
      <c r="T283" s="10">
        <v>6.5</v>
      </c>
      <c r="U283" s="10">
        <v>4.25</v>
      </c>
      <c r="V283" s="10">
        <v>3.5</v>
      </c>
      <c r="W283" s="10"/>
    </row>
    <row r="284" spans="2:23" s="9" customFormat="1" x14ac:dyDescent="0.2">
      <c r="B284" s="8" t="s">
        <v>340</v>
      </c>
      <c r="C284" s="10">
        <v>9.1999999999999993</v>
      </c>
      <c r="D284" s="10">
        <v>5.52</v>
      </c>
      <c r="E284" s="10">
        <v>10</v>
      </c>
      <c r="F284" s="10">
        <v>9</v>
      </c>
      <c r="G284" s="10">
        <v>7.5</v>
      </c>
      <c r="H284" s="10">
        <v>5</v>
      </c>
      <c r="I284" s="10">
        <v>5</v>
      </c>
      <c r="J284" s="10">
        <v>4</v>
      </c>
      <c r="K284" s="10">
        <v>5.25</v>
      </c>
      <c r="L284" s="10">
        <v>3</v>
      </c>
      <c r="M284" s="10">
        <v>1.75</v>
      </c>
      <c r="N284" s="10">
        <v>4.5</v>
      </c>
      <c r="O284" s="10">
        <v>5</v>
      </c>
      <c r="P284" s="10">
        <v>3.75</v>
      </c>
      <c r="Q284" s="10">
        <v>0.75</v>
      </c>
      <c r="R284" s="10">
        <v>0.75</v>
      </c>
      <c r="S284" s="10">
        <v>8.5</v>
      </c>
      <c r="T284" s="10">
        <v>6.5</v>
      </c>
      <c r="U284" s="10">
        <v>4.25</v>
      </c>
      <c r="V284" s="10">
        <v>3.5</v>
      </c>
      <c r="W284" s="10"/>
    </row>
    <row r="285" spans="2:23" s="9" customFormat="1" x14ac:dyDescent="0.2">
      <c r="B285" s="8" t="s">
        <v>341</v>
      </c>
      <c r="C285" s="10">
        <v>9.1999999999999993</v>
      </c>
      <c r="D285" s="10"/>
      <c r="E285" s="10">
        <v>10</v>
      </c>
      <c r="F285" s="10">
        <v>9</v>
      </c>
      <c r="G285" s="10">
        <v>7.5</v>
      </c>
      <c r="H285" s="10">
        <v>5</v>
      </c>
      <c r="I285" s="10">
        <v>5</v>
      </c>
      <c r="J285" s="10">
        <v>4</v>
      </c>
      <c r="K285" s="10">
        <v>5.25</v>
      </c>
      <c r="L285" s="10">
        <v>3</v>
      </c>
      <c r="M285" s="10">
        <v>1.75</v>
      </c>
      <c r="N285" s="10">
        <v>4.5</v>
      </c>
      <c r="O285" s="10">
        <v>5</v>
      </c>
      <c r="P285" s="10">
        <v>3.75</v>
      </c>
      <c r="Q285" s="10">
        <v>0.75</v>
      </c>
      <c r="R285" s="10">
        <v>0.75</v>
      </c>
      <c r="S285" s="10">
        <v>8.5</v>
      </c>
      <c r="T285" s="10">
        <v>6.5</v>
      </c>
      <c r="U285" s="10">
        <v>4.25</v>
      </c>
      <c r="V285" s="10">
        <v>3.5</v>
      </c>
      <c r="W285" s="10"/>
    </row>
    <row r="286" spans="2:23" s="9" customFormat="1" x14ac:dyDescent="0.2">
      <c r="B286" s="8" t="s">
        <v>342</v>
      </c>
      <c r="C286" s="10"/>
      <c r="D286" s="10"/>
      <c r="E286" s="10">
        <v>10</v>
      </c>
      <c r="F286" s="10">
        <v>9</v>
      </c>
      <c r="G286" s="10">
        <v>7.5</v>
      </c>
      <c r="H286" s="10">
        <v>5</v>
      </c>
      <c r="I286" s="10">
        <v>5</v>
      </c>
      <c r="J286" s="10">
        <v>4</v>
      </c>
      <c r="K286" s="10">
        <v>5.25</v>
      </c>
      <c r="L286" s="10">
        <v>3</v>
      </c>
      <c r="M286" s="10">
        <v>1.75</v>
      </c>
      <c r="N286" s="10">
        <v>4.5</v>
      </c>
      <c r="O286" s="10">
        <v>5</v>
      </c>
      <c r="P286" s="10">
        <v>3.75</v>
      </c>
      <c r="Q286" s="10">
        <v>0.75</v>
      </c>
      <c r="R286" s="10">
        <v>0.75</v>
      </c>
      <c r="S286" s="10">
        <v>8.5</v>
      </c>
      <c r="T286" s="10">
        <v>6.5</v>
      </c>
      <c r="U286" s="10">
        <v>4.25</v>
      </c>
      <c r="V286" s="10">
        <v>3.5</v>
      </c>
      <c r="W286" s="10"/>
    </row>
    <row r="287" spans="2:23" s="9" customFormat="1" x14ac:dyDescent="0.2">
      <c r="B287" s="8" t="s">
        <v>343</v>
      </c>
      <c r="C287" s="10"/>
      <c r="D287" s="10">
        <v>5.52</v>
      </c>
      <c r="E287" s="10">
        <v>10</v>
      </c>
      <c r="F287" s="10">
        <v>9</v>
      </c>
      <c r="G287" s="10">
        <v>7.5</v>
      </c>
      <c r="H287" s="10">
        <v>5</v>
      </c>
      <c r="I287" s="10">
        <v>5</v>
      </c>
      <c r="J287" s="10">
        <v>4</v>
      </c>
      <c r="K287" s="10">
        <v>5.25</v>
      </c>
      <c r="L287" s="10">
        <v>3</v>
      </c>
      <c r="M287" s="10">
        <v>1.75</v>
      </c>
      <c r="N287" s="10">
        <v>4.5</v>
      </c>
      <c r="O287" s="10">
        <v>5</v>
      </c>
      <c r="P287" s="10">
        <v>3.75</v>
      </c>
      <c r="Q287" s="10">
        <v>0.75</v>
      </c>
      <c r="R287" s="10">
        <v>0.75</v>
      </c>
      <c r="S287" s="10">
        <v>8.5</v>
      </c>
      <c r="T287" s="10">
        <v>6.5</v>
      </c>
      <c r="U287" s="10">
        <v>4.25</v>
      </c>
      <c r="V287" s="10">
        <v>3.5</v>
      </c>
      <c r="W287" s="10"/>
    </row>
    <row r="288" spans="2:23" s="9" customFormat="1" x14ac:dyDescent="0.2">
      <c r="B288" s="8" t="s">
        <v>344</v>
      </c>
      <c r="C288" s="10">
        <v>9.1999999999999993</v>
      </c>
      <c r="D288" s="10">
        <v>5.52</v>
      </c>
      <c r="E288" s="10">
        <v>10</v>
      </c>
      <c r="F288" s="10">
        <v>9</v>
      </c>
      <c r="G288" s="10">
        <v>7.5</v>
      </c>
      <c r="H288" s="10">
        <v>5</v>
      </c>
      <c r="I288" s="10">
        <v>5</v>
      </c>
      <c r="J288" s="10">
        <v>4</v>
      </c>
      <c r="K288" s="10">
        <v>5.25</v>
      </c>
      <c r="L288" s="10">
        <v>3</v>
      </c>
      <c r="M288" s="10">
        <v>1.75</v>
      </c>
      <c r="N288" s="10">
        <v>4.5</v>
      </c>
      <c r="O288" s="10">
        <v>5</v>
      </c>
      <c r="P288" s="10">
        <v>3.75</v>
      </c>
      <c r="Q288" s="10">
        <v>0.75</v>
      </c>
      <c r="R288" s="10">
        <v>0.75</v>
      </c>
      <c r="S288" s="10">
        <v>8.5</v>
      </c>
      <c r="T288" s="10">
        <v>6.5</v>
      </c>
      <c r="U288" s="10">
        <v>4.25</v>
      </c>
      <c r="V288" s="10">
        <v>3.5</v>
      </c>
      <c r="W288" s="10"/>
    </row>
    <row r="289" spans="2:23" s="9" customFormat="1" x14ac:dyDescent="0.2">
      <c r="B289" s="8" t="s">
        <v>345</v>
      </c>
      <c r="C289" s="10">
        <v>9.1999999999999993</v>
      </c>
      <c r="D289" s="10">
        <v>5.52</v>
      </c>
      <c r="E289" s="10">
        <v>10</v>
      </c>
      <c r="F289" s="10">
        <v>9</v>
      </c>
      <c r="G289" s="10">
        <v>7.5</v>
      </c>
      <c r="H289" s="10">
        <v>5</v>
      </c>
      <c r="I289" s="10">
        <v>5</v>
      </c>
      <c r="J289" s="10">
        <v>4</v>
      </c>
      <c r="K289" s="10">
        <v>5.25</v>
      </c>
      <c r="L289" s="10">
        <v>3</v>
      </c>
      <c r="M289" s="10">
        <v>1.75</v>
      </c>
      <c r="N289" s="10">
        <v>4.5</v>
      </c>
      <c r="O289" s="10">
        <v>5</v>
      </c>
      <c r="P289" s="10">
        <v>3.75</v>
      </c>
      <c r="Q289" s="10">
        <v>0.75</v>
      </c>
      <c r="R289" s="10">
        <v>0.75</v>
      </c>
      <c r="S289" s="10">
        <v>8.5</v>
      </c>
      <c r="T289" s="10">
        <v>6.5</v>
      </c>
      <c r="U289" s="10">
        <v>4.25</v>
      </c>
      <c r="V289" s="10">
        <v>3.5</v>
      </c>
      <c r="W289" s="10"/>
    </row>
    <row r="290" spans="2:23" s="9" customFormat="1" x14ac:dyDescent="0.2">
      <c r="B290" s="8" t="s">
        <v>346</v>
      </c>
      <c r="C290" s="10">
        <v>9.1999999999999993</v>
      </c>
      <c r="D290" s="10">
        <v>5.52</v>
      </c>
      <c r="E290" s="10">
        <v>10</v>
      </c>
      <c r="F290" s="10">
        <v>9</v>
      </c>
      <c r="G290" s="10">
        <v>7.5</v>
      </c>
      <c r="H290" s="10">
        <v>5</v>
      </c>
      <c r="I290" s="10">
        <v>5</v>
      </c>
      <c r="J290" s="10">
        <v>4</v>
      </c>
      <c r="K290" s="10">
        <v>5.25</v>
      </c>
      <c r="L290" s="10">
        <v>3</v>
      </c>
      <c r="M290" s="10">
        <v>1.75</v>
      </c>
      <c r="N290" s="10">
        <v>4.5</v>
      </c>
      <c r="O290" s="10">
        <v>5</v>
      </c>
      <c r="P290" s="10">
        <v>3.75</v>
      </c>
      <c r="Q290" s="10">
        <v>0.75</v>
      </c>
      <c r="R290" s="10">
        <v>0.75</v>
      </c>
      <c r="S290" s="10">
        <v>8.5</v>
      </c>
      <c r="T290" s="10">
        <v>6.5</v>
      </c>
      <c r="U290" s="10">
        <v>4.25</v>
      </c>
      <c r="V290" s="10">
        <v>3.5</v>
      </c>
      <c r="W290" s="10"/>
    </row>
    <row r="291" spans="2:23" s="9" customFormat="1" x14ac:dyDescent="0.2">
      <c r="B291" s="8" t="s">
        <v>347</v>
      </c>
      <c r="C291" s="10">
        <v>9.1999999999999993</v>
      </c>
      <c r="D291" s="10">
        <v>5.52</v>
      </c>
      <c r="E291" s="10">
        <v>10</v>
      </c>
      <c r="F291" s="10">
        <v>9</v>
      </c>
      <c r="G291" s="10">
        <v>7.5</v>
      </c>
      <c r="H291" s="10">
        <v>5</v>
      </c>
      <c r="I291" s="10">
        <v>5</v>
      </c>
      <c r="J291" s="10">
        <v>4</v>
      </c>
      <c r="K291" s="10">
        <v>5.25</v>
      </c>
      <c r="L291" s="10">
        <v>3</v>
      </c>
      <c r="M291" s="10">
        <v>1.75</v>
      </c>
      <c r="N291" s="10">
        <v>4.5</v>
      </c>
      <c r="O291" s="10">
        <v>5</v>
      </c>
      <c r="P291" s="10">
        <v>3.75</v>
      </c>
      <c r="Q291" s="10">
        <v>0.75</v>
      </c>
      <c r="R291" s="10">
        <v>0.75</v>
      </c>
      <c r="S291" s="10">
        <v>8.5</v>
      </c>
      <c r="T291" s="10">
        <v>6.5</v>
      </c>
      <c r="U291" s="10">
        <v>4.25</v>
      </c>
      <c r="V291" s="10">
        <v>3.5</v>
      </c>
      <c r="W291" s="10"/>
    </row>
    <row r="292" spans="2:23" s="9" customFormat="1" x14ac:dyDescent="0.2">
      <c r="B292" s="8" t="s">
        <v>348</v>
      </c>
      <c r="C292" s="10">
        <v>9.1999999999999993</v>
      </c>
      <c r="D292" s="10"/>
      <c r="E292" s="10">
        <v>10</v>
      </c>
      <c r="F292" s="10">
        <v>9</v>
      </c>
      <c r="G292" s="10">
        <v>7.5</v>
      </c>
      <c r="H292" s="10">
        <v>5</v>
      </c>
      <c r="I292" s="10">
        <v>5</v>
      </c>
      <c r="J292" s="10">
        <v>4</v>
      </c>
      <c r="K292" s="10">
        <v>5.25</v>
      </c>
      <c r="L292" s="10">
        <v>3</v>
      </c>
      <c r="M292" s="10">
        <v>1.75</v>
      </c>
      <c r="N292" s="10">
        <v>4.5</v>
      </c>
      <c r="O292" s="10">
        <v>5</v>
      </c>
      <c r="P292" s="10">
        <v>3.75</v>
      </c>
      <c r="Q292" s="10">
        <v>0.75</v>
      </c>
      <c r="R292" s="10">
        <v>0.75</v>
      </c>
      <c r="S292" s="10">
        <v>8.5</v>
      </c>
      <c r="T292" s="10">
        <v>6.5</v>
      </c>
      <c r="U292" s="10">
        <v>4.25</v>
      </c>
      <c r="V292" s="10">
        <v>3.5</v>
      </c>
      <c r="W292" s="10"/>
    </row>
    <row r="293" spans="2:23" s="9" customFormat="1" x14ac:dyDescent="0.2">
      <c r="B293" s="8" t="s">
        <v>349</v>
      </c>
      <c r="C293" s="10"/>
      <c r="D293" s="10"/>
      <c r="E293" s="10">
        <v>10</v>
      </c>
      <c r="F293" s="10">
        <v>9</v>
      </c>
      <c r="G293" s="10">
        <v>7.5</v>
      </c>
      <c r="H293" s="10">
        <v>5</v>
      </c>
      <c r="I293" s="10">
        <v>5</v>
      </c>
      <c r="J293" s="10">
        <v>4</v>
      </c>
      <c r="K293" s="10">
        <v>5.25</v>
      </c>
      <c r="L293" s="10">
        <v>3</v>
      </c>
      <c r="M293" s="10">
        <v>1.75</v>
      </c>
      <c r="N293" s="10">
        <v>4.5</v>
      </c>
      <c r="O293" s="10">
        <v>5</v>
      </c>
      <c r="P293" s="10">
        <v>3.75</v>
      </c>
      <c r="Q293" s="10">
        <v>0.75</v>
      </c>
      <c r="R293" s="10">
        <v>0.75</v>
      </c>
      <c r="S293" s="10">
        <v>8.5</v>
      </c>
      <c r="T293" s="10">
        <v>6.5</v>
      </c>
      <c r="U293" s="10">
        <v>4.25</v>
      </c>
      <c r="V293" s="10">
        <v>3.5</v>
      </c>
      <c r="W293" s="10"/>
    </row>
    <row r="294" spans="2:23" s="9" customFormat="1" x14ac:dyDescent="0.2">
      <c r="B294" s="8" t="s">
        <v>350</v>
      </c>
      <c r="C294" s="10"/>
      <c r="D294" s="10"/>
      <c r="E294" s="10">
        <v>10</v>
      </c>
      <c r="F294" s="10">
        <v>9</v>
      </c>
      <c r="G294" s="10">
        <v>7.5</v>
      </c>
      <c r="H294" s="10">
        <v>5</v>
      </c>
      <c r="I294" s="10">
        <v>5</v>
      </c>
      <c r="J294" s="10">
        <v>4</v>
      </c>
      <c r="K294" s="10">
        <v>5.25</v>
      </c>
      <c r="L294" s="10">
        <v>3</v>
      </c>
      <c r="M294" s="10">
        <v>1.75</v>
      </c>
      <c r="N294" s="10">
        <v>4.5</v>
      </c>
      <c r="O294" s="10">
        <v>5</v>
      </c>
      <c r="P294" s="10">
        <v>3.75</v>
      </c>
      <c r="Q294" s="10">
        <v>0.75</v>
      </c>
      <c r="R294" s="10">
        <v>0.75</v>
      </c>
      <c r="S294" s="10">
        <v>8.5</v>
      </c>
      <c r="T294" s="10">
        <v>6.5</v>
      </c>
      <c r="U294" s="10">
        <v>4.25</v>
      </c>
      <c r="V294" s="10">
        <v>3.5</v>
      </c>
      <c r="W294" s="10"/>
    </row>
    <row r="295" spans="2:23" s="9" customFormat="1" x14ac:dyDescent="0.2">
      <c r="B295" s="8" t="s">
        <v>351</v>
      </c>
      <c r="C295" s="10">
        <v>9.1999999999999993</v>
      </c>
      <c r="D295" s="10">
        <v>5.52</v>
      </c>
      <c r="E295" s="10">
        <v>10</v>
      </c>
      <c r="F295" s="10">
        <v>9</v>
      </c>
      <c r="G295" s="10">
        <v>7.5</v>
      </c>
      <c r="H295" s="10">
        <v>5</v>
      </c>
      <c r="I295" s="10">
        <v>5</v>
      </c>
      <c r="J295" s="10">
        <v>4</v>
      </c>
      <c r="K295" s="10">
        <v>5.25</v>
      </c>
      <c r="L295" s="10">
        <v>3</v>
      </c>
      <c r="M295" s="10">
        <v>1.75</v>
      </c>
      <c r="N295" s="10">
        <v>4.5</v>
      </c>
      <c r="O295" s="10">
        <v>5</v>
      </c>
      <c r="P295" s="10">
        <v>3.75</v>
      </c>
      <c r="Q295" s="10">
        <v>0.75</v>
      </c>
      <c r="R295" s="10">
        <v>0.75</v>
      </c>
      <c r="S295" s="10">
        <v>8.5</v>
      </c>
      <c r="T295" s="10">
        <v>6.5</v>
      </c>
      <c r="U295" s="10">
        <v>4.25</v>
      </c>
      <c r="V295" s="10">
        <v>3.5</v>
      </c>
      <c r="W295" s="10"/>
    </row>
    <row r="296" spans="2:23" s="9" customFormat="1" x14ac:dyDescent="0.2">
      <c r="B296" s="8" t="s">
        <v>352</v>
      </c>
      <c r="C296" s="10">
        <v>9.1999999999999993</v>
      </c>
      <c r="D296" s="10">
        <v>5.52</v>
      </c>
      <c r="E296" s="10">
        <v>10</v>
      </c>
      <c r="F296" s="10">
        <v>9</v>
      </c>
      <c r="G296" s="10">
        <v>7.5</v>
      </c>
      <c r="H296" s="10">
        <v>5</v>
      </c>
      <c r="I296" s="10">
        <v>5</v>
      </c>
      <c r="J296" s="10">
        <v>4</v>
      </c>
      <c r="K296" s="10">
        <v>5.25</v>
      </c>
      <c r="L296" s="10">
        <v>3</v>
      </c>
      <c r="M296" s="10">
        <v>1.75</v>
      </c>
      <c r="N296" s="10">
        <v>4.5</v>
      </c>
      <c r="O296" s="10">
        <v>5</v>
      </c>
      <c r="P296" s="10">
        <v>3.75</v>
      </c>
      <c r="Q296" s="10">
        <v>0.75</v>
      </c>
      <c r="R296" s="10">
        <v>0.75</v>
      </c>
      <c r="S296" s="10">
        <v>8.5</v>
      </c>
      <c r="T296" s="10">
        <v>6.5</v>
      </c>
      <c r="U296" s="10">
        <v>4.25</v>
      </c>
      <c r="V296" s="10">
        <v>3.5</v>
      </c>
      <c r="W296" s="10"/>
    </row>
    <row r="297" spans="2:23" s="9" customFormat="1" x14ac:dyDescent="0.2">
      <c r="B297" s="8" t="s">
        <v>353</v>
      </c>
      <c r="C297" s="10">
        <v>9.1999999999999993</v>
      </c>
      <c r="D297" s="10">
        <v>5.52</v>
      </c>
      <c r="E297" s="10">
        <v>10</v>
      </c>
      <c r="F297" s="10">
        <v>9</v>
      </c>
      <c r="G297" s="10">
        <v>7.5</v>
      </c>
      <c r="H297" s="10">
        <v>5</v>
      </c>
      <c r="I297" s="10">
        <v>5</v>
      </c>
      <c r="J297" s="10">
        <v>4</v>
      </c>
      <c r="K297" s="10">
        <v>5.25</v>
      </c>
      <c r="L297" s="10">
        <v>3</v>
      </c>
      <c r="M297" s="10">
        <v>1.75</v>
      </c>
      <c r="N297" s="10">
        <v>4.5</v>
      </c>
      <c r="O297" s="10">
        <v>5</v>
      </c>
      <c r="P297" s="10">
        <v>3.75</v>
      </c>
      <c r="Q297" s="10">
        <v>0.75</v>
      </c>
      <c r="R297" s="10">
        <v>0.75</v>
      </c>
      <c r="S297" s="10">
        <v>8.5</v>
      </c>
      <c r="T297" s="10">
        <v>6.5</v>
      </c>
      <c r="U297" s="10">
        <v>4</v>
      </c>
      <c r="V297" s="10">
        <v>3.5</v>
      </c>
      <c r="W297" s="10"/>
    </row>
    <row r="298" spans="2:23" s="9" customFormat="1" x14ac:dyDescent="0.2">
      <c r="B298" s="8" t="s">
        <v>354</v>
      </c>
      <c r="C298" s="10">
        <v>9.1999999999999993</v>
      </c>
      <c r="D298" s="10">
        <v>5.52</v>
      </c>
      <c r="E298" s="10">
        <v>10</v>
      </c>
      <c r="F298" s="10">
        <v>9</v>
      </c>
      <c r="G298" s="10">
        <v>7.5</v>
      </c>
      <c r="H298" s="10">
        <v>5</v>
      </c>
      <c r="I298" s="10">
        <v>5</v>
      </c>
      <c r="J298" s="10">
        <v>4</v>
      </c>
      <c r="K298" s="10">
        <v>5.25</v>
      </c>
      <c r="L298" s="10">
        <v>3</v>
      </c>
      <c r="M298" s="10">
        <v>1.75</v>
      </c>
      <c r="N298" s="10">
        <v>4.5</v>
      </c>
      <c r="O298" s="10">
        <v>5</v>
      </c>
      <c r="P298" s="10">
        <v>3.75</v>
      </c>
      <c r="Q298" s="10">
        <v>0.75</v>
      </c>
      <c r="R298" s="10">
        <v>0.75</v>
      </c>
      <c r="S298" s="10">
        <v>8.5</v>
      </c>
      <c r="T298" s="10">
        <v>6.5</v>
      </c>
      <c r="U298" s="10">
        <v>4</v>
      </c>
      <c r="V298" s="10">
        <v>3.5</v>
      </c>
      <c r="W298" s="10"/>
    </row>
    <row r="299" spans="2:23" s="9" customFormat="1" x14ac:dyDescent="0.2">
      <c r="B299" s="8" t="s">
        <v>355</v>
      </c>
      <c r="C299" s="10">
        <v>9.1999999999999993</v>
      </c>
      <c r="D299" s="10"/>
      <c r="E299" s="10">
        <v>10</v>
      </c>
      <c r="F299" s="10">
        <v>9</v>
      </c>
      <c r="G299" s="10">
        <v>7.5</v>
      </c>
      <c r="H299" s="10">
        <v>5</v>
      </c>
      <c r="I299" s="10">
        <v>5</v>
      </c>
      <c r="J299" s="10">
        <v>4</v>
      </c>
      <c r="K299" s="10">
        <v>5.25</v>
      </c>
      <c r="L299" s="10">
        <v>3</v>
      </c>
      <c r="M299" s="10">
        <v>1.75</v>
      </c>
      <c r="N299" s="10">
        <v>4.5</v>
      </c>
      <c r="O299" s="10">
        <v>5</v>
      </c>
      <c r="P299" s="10">
        <v>3.75</v>
      </c>
      <c r="Q299" s="10">
        <v>0.75</v>
      </c>
      <c r="R299" s="10">
        <v>0.75</v>
      </c>
      <c r="S299" s="10">
        <v>8.5</v>
      </c>
      <c r="T299" s="10">
        <v>6.5</v>
      </c>
      <c r="U299" s="10">
        <v>4</v>
      </c>
      <c r="V299" s="10">
        <v>3.5</v>
      </c>
      <c r="W299" s="10"/>
    </row>
    <row r="300" spans="2:23" s="9" customFormat="1" x14ac:dyDescent="0.2">
      <c r="B300" s="8" t="s">
        <v>356</v>
      </c>
      <c r="C300" s="10"/>
      <c r="D300" s="10"/>
      <c r="E300" s="10">
        <v>10</v>
      </c>
      <c r="F300" s="10">
        <v>9</v>
      </c>
      <c r="G300" s="10">
        <v>6.5</v>
      </c>
      <c r="H300" s="10">
        <v>5</v>
      </c>
      <c r="I300" s="10">
        <v>5</v>
      </c>
      <c r="J300" s="10">
        <v>4</v>
      </c>
      <c r="K300" s="10">
        <v>5.25</v>
      </c>
      <c r="L300" s="10">
        <v>2.25</v>
      </c>
      <c r="M300" s="10">
        <v>1.75</v>
      </c>
      <c r="N300" s="10">
        <v>4.5</v>
      </c>
      <c r="O300" s="10">
        <v>5</v>
      </c>
      <c r="P300" s="10">
        <v>3.75</v>
      </c>
      <c r="Q300" s="10">
        <v>0.75</v>
      </c>
      <c r="R300" s="10">
        <v>0.75</v>
      </c>
      <c r="S300" s="10">
        <v>8.5</v>
      </c>
      <c r="T300" s="10">
        <v>6.5</v>
      </c>
      <c r="U300" s="10">
        <v>4</v>
      </c>
      <c r="V300" s="10">
        <v>3.5</v>
      </c>
      <c r="W300" s="10"/>
    </row>
    <row r="301" spans="2:23" s="9" customFormat="1" x14ac:dyDescent="0.2">
      <c r="B301" s="8" t="s">
        <v>357</v>
      </c>
      <c r="C301" s="10"/>
      <c r="D301" s="10">
        <v>5.52</v>
      </c>
      <c r="E301" s="10">
        <v>10</v>
      </c>
      <c r="F301" s="10">
        <v>9</v>
      </c>
      <c r="G301" s="10">
        <v>6.5</v>
      </c>
      <c r="H301" s="10">
        <v>5</v>
      </c>
      <c r="I301" s="10">
        <v>5</v>
      </c>
      <c r="J301" s="10">
        <v>4</v>
      </c>
      <c r="K301" s="10">
        <v>5.25</v>
      </c>
      <c r="L301" s="10">
        <v>2.25</v>
      </c>
      <c r="M301" s="10">
        <v>1.75</v>
      </c>
      <c r="N301" s="10">
        <v>4.5</v>
      </c>
      <c r="O301" s="10">
        <v>5</v>
      </c>
      <c r="P301" s="10">
        <v>3.75</v>
      </c>
      <c r="Q301" s="10">
        <v>0.75</v>
      </c>
      <c r="R301" s="10">
        <v>0.75</v>
      </c>
      <c r="S301" s="10">
        <v>8.5</v>
      </c>
      <c r="T301" s="10">
        <v>6.5</v>
      </c>
      <c r="U301" s="10">
        <v>4</v>
      </c>
      <c r="V301" s="10">
        <v>3.5</v>
      </c>
      <c r="W301" s="10"/>
    </row>
    <row r="302" spans="2:23" s="9" customFormat="1" x14ac:dyDescent="0.2">
      <c r="B302" s="8" t="s">
        <v>358</v>
      </c>
      <c r="C302" s="10">
        <v>9.1999999999999993</v>
      </c>
      <c r="D302" s="10">
        <v>5.52</v>
      </c>
      <c r="E302" s="10">
        <v>10</v>
      </c>
      <c r="F302" s="10">
        <v>9</v>
      </c>
      <c r="G302" s="10">
        <v>6.5</v>
      </c>
      <c r="H302" s="10">
        <v>5</v>
      </c>
      <c r="I302" s="10">
        <v>5</v>
      </c>
      <c r="J302" s="10">
        <v>4</v>
      </c>
      <c r="K302" s="10">
        <v>5.25</v>
      </c>
      <c r="L302" s="10">
        <v>2.25</v>
      </c>
      <c r="M302" s="10">
        <v>1.75</v>
      </c>
      <c r="N302" s="10">
        <v>4.5</v>
      </c>
      <c r="O302" s="10">
        <v>5</v>
      </c>
      <c r="P302" s="10">
        <v>3.75</v>
      </c>
      <c r="Q302" s="10">
        <v>0.75</v>
      </c>
      <c r="R302" s="10">
        <v>0.75</v>
      </c>
      <c r="S302" s="10">
        <v>8.5</v>
      </c>
      <c r="T302" s="10">
        <v>6.5</v>
      </c>
      <c r="U302" s="10">
        <v>4</v>
      </c>
      <c r="V302" s="10">
        <v>3.5</v>
      </c>
      <c r="W302" s="10"/>
    </row>
    <row r="303" spans="2:23" s="9" customFormat="1" x14ac:dyDescent="0.2">
      <c r="B303" s="8" t="s">
        <v>359</v>
      </c>
      <c r="C303" s="10">
        <v>9.1999999999999993</v>
      </c>
      <c r="D303" s="10">
        <v>5.52</v>
      </c>
      <c r="E303" s="10">
        <v>10</v>
      </c>
      <c r="F303" s="10">
        <v>9</v>
      </c>
      <c r="G303" s="10">
        <v>6.5</v>
      </c>
      <c r="H303" s="10">
        <v>5</v>
      </c>
      <c r="I303" s="10">
        <v>5</v>
      </c>
      <c r="J303" s="10">
        <v>4</v>
      </c>
      <c r="K303" s="10">
        <v>5.25</v>
      </c>
      <c r="L303" s="10">
        <v>2.25</v>
      </c>
      <c r="M303" s="10">
        <v>1.75</v>
      </c>
      <c r="N303" s="10">
        <v>4.5</v>
      </c>
      <c r="O303" s="10">
        <v>5</v>
      </c>
      <c r="P303" s="10">
        <v>3.75</v>
      </c>
      <c r="Q303" s="10">
        <v>0.75</v>
      </c>
      <c r="R303" s="10">
        <v>0.75</v>
      </c>
      <c r="S303" s="10">
        <v>8.5</v>
      </c>
      <c r="T303" s="10">
        <v>6.5</v>
      </c>
      <c r="U303" s="10">
        <v>4</v>
      </c>
      <c r="V303" s="10">
        <v>3.5</v>
      </c>
      <c r="W303" s="10"/>
    </row>
    <row r="304" spans="2:23" s="9" customFormat="1" x14ac:dyDescent="0.2">
      <c r="B304" s="8" t="s">
        <v>360</v>
      </c>
      <c r="C304" s="10">
        <v>9.1999999999999993</v>
      </c>
      <c r="D304" s="10">
        <v>5.52</v>
      </c>
      <c r="E304" s="10">
        <v>10</v>
      </c>
      <c r="F304" s="10">
        <v>9</v>
      </c>
      <c r="G304" s="10">
        <v>6.5</v>
      </c>
      <c r="H304" s="10">
        <v>5</v>
      </c>
      <c r="I304" s="10">
        <v>5</v>
      </c>
      <c r="J304" s="10">
        <v>4</v>
      </c>
      <c r="K304" s="10">
        <v>5.25</v>
      </c>
      <c r="L304" s="10">
        <v>2.25</v>
      </c>
      <c r="M304" s="10">
        <v>1.75</v>
      </c>
      <c r="N304" s="10">
        <v>4.5</v>
      </c>
      <c r="O304" s="10">
        <v>5</v>
      </c>
      <c r="P304" s="10">
        <v>3.75</v>
      </c>
      <c r="Q304" s="10">
        <v>0.75</v>
      </c>
      <c r="R304" s="10">
        <v>0.75</v>
      </c>
      <c r="S304" s="10">
        <v>8.5</v>
      </c>
      <c r="T304" s="10">
        <v>6.5</v>
      </c>
      <c r="U304" s="10">
        <v>4</v>
      </c>
      <c r="V304" s="10">
        <v>3.5</v>
      </c>
      <c r="W304" s="10"/>
    </row>
    <row r="305" spans="2:23" s="9" customFormat="1" x14ac:dyDescent="0.2">
      <c r="B305" s="8" t="s">
        <v>361</v>
      </c>
      <c r="C305" s="10">
        <v>9.1999999999999993</v>
      </c>
      <c r="D305" s="10">
        <v>5.52</v>
      </c>
      <c r="E305" s="10">
        <v>10</v>
      </c>
      <c r="F305" s="10">
        <v>9</v>
      </c>
      <c r="G305" s="10">
        <v>6.5</v>
      </c>
      <c r="H305" s="10">
        <v>5</v>
      </c>
      <c r="I305" s="10">
        <v>5</v>
      </c>
      <c r="J305" s="10">
        <v>4</v>
      </c>
      <c r="K305" s="10">
        <v>5.25</v>
      </c>
      <c r="L305" s="10">
        <v>2.25</v>
      </c>
      <c r="M305" s="10">
        <v>1.75</v>
      </c>
      <c r="N305" s="10">
        <v>4.5</v>
      </c>
      <c r="O305" s="10">
        <v>5</v>
      </c>
      <c r="P305" s="10">
        <v>3.75</v>
      </c>
      <c r="Q305" s="10">
        <v>0.75</v>
      </c>
      <c r="R305" s="10">
        <v>0.75</v>
      </c>
      <c r="S305" s="10">
        <v>8.5</v>
      </c>
      <c r="T305" s="10">
        <v>6.25</v>
      </c>
      <c r="U305" s="10">
        <v>4</v>
      </c>
      <c r="V305" s="10">
        <v>3.5</v>
      </c>
      <c r="W305" s="10"/>
    </row>
    <row r="306" spans="2:23" s="9" customFormat="1" x14ac:dyDescent="0.2">
      <c r="B306" s="8" t="s">
        <v>362</v>
      </c>
      <c r="C306" s="10">
        <v>9.1999999999999993</v>
      </c>
      <c r="D306" s="10"/>
      <c r="E306" s="10">
        <v>10</v>
      </c>
      <c r="F306" s="10">
        <v>9</v>
      </c>
      <c r="G306" s="10">
        <v>6.5</v>
      </c>
      <c r="H306" s="10">
        <v>5</v>
      </c>
      <c r="I306" s="10">
        <v>5</v>
      </c>
      <c r="J306" s="10">
        <v>4</v>
      </c>
      <c r="K306" s="10">
        <v>5.25</v>
      </c>
      <c r="L306" s="10">
        <v>2.25</v>
      </c>
      <c r="M306" s="10">
        <v>1.75</v>
      </c>
      <c r="N306" s="10">
        <v>4.5</v>
      </c>
      <c r="O306" s="10">
        <v>5</v>
      </c>
      <c r="P306" s="10">
        <v>3.75</v>
      </c>
      <c r="Q306" s="10">
        <v>0.75</v>
      </c>
      <c r="R306" s="10">
        <v>0.75</v>
      </c>
      <c r="S306" s="10">
        <v>9</v>
      </c>
      <c r="T306" s="10">
        <v>6.25</v>
      </c>
      <c r="U306" s="10">
        <v>4</v>
      </c>
      <c r="V306" s="10">
        <v>3.5</v>
      </c>
      <c r="W306" s="10"/>
    </row>
    <row r="307" spans="2:23" s="9" customFormat="1" x14ac:dyDescent="0.2">
      <c r="B307" s="8" t="s">
        <v>363</v>
      </c>
      <c r="C307" s="10"/>
      <c r="D307" s="10"/>
      <c r="E307" s="10">
        <v>10</v>
      </c>
      <c r="F307" s="10">
        <v>9</v>
      </c>
      <c r="G307" s="10">
        <v>6.5</v>
      </c>
      <c r="H307" s="10">
        <v>5</v>
      </c>
      <c r="I307" s="10">
        <v>5</v>
      </c>
      <c r="J307" s="10">
        <v>4</v>
      </c>
      <c r="K307" s="10">
        <v>5.25</v>
      </c>
      <c r="L307" s="10">
        <v>2.25</v>
      </c>
      <c r="M307" s="10">
        <v>1.75</v>
      </c>
      <c r="N307" s="10">
        <v>4.5</v>
      </c>
      <c r="O307" s="10">
        <v>5</v>
      </c>
      <c r="P307" s="10">
        <v>3.75</v>
      </c>
      <c r="Q307" s="10">
        <v>0.75</v>
      </c>
      <c r="R307" s="10">
        <v>0.75</v>
      </c>
      <c r="S307" s="10">
        <v>9</v>
      </c>
      <c r="T307" s="10">
        <v>6.25</v>
      </c>
      <c r="U307" s="10">
        <v>4</v>
      </c>
      <c r="V307" s="10">
        <v>3.5</v>
      </c>
      <c r="W307" s="10"/>
    </row>
    <row r="308" spans="2:23" s="9" customFormat="1" x14ac:dyDescent="0.2">
      <c r="B308" s="8" t="s">
        <v>364</v>
      </c>
      <c r="C308" s="10"/>
      <c r="D308" s="10">
        <v>5.52</v>
      </c>
      <c r="E308" s="10">
        <v>10</v>
      </c>
      <c r="F308" s="10">
        <v>9</v>
      </c>
      <c r="G308" s="10">
        <v>6.5</v>
      </c>
      <c r="H308" s="10">
        <v>5</v>
      </c>
      <c r="I308" s="10">
        <v>5</v>
      </c>
      <c r="J308" s="10">
        <v>4</v>
      </c>
      <c r="K308" s="10">
        <v>5.25</v>
      </c>
      <c r="L308" s="10">
        <v>2.25</v>
      </c>
      <c r="M308" s="10">
        <v>1.75</v>
      </c>
      <c r="N308" s="10">
        <v>4.5</v>
      </c>
      <c r="O308" s="10">
        <v>5</v>
      </c>
      <c r="P308" s="10">
        <v>3.75</v>
      </c>
      <c r="Q308" s="10">
        <v>0.75</v>
      </c>
      <c r="R308" s="10">
        <v>0.75</v>
      </c>
      <c r="S308" s="10">
        <v>9</v>
      </c>
      <c r="T308" s="10">
        <v>6.25</v>
      </c>
      <c r="U308" s="10">
        <v>4</v>
      </c>
      <c r="V308" s="10">
        <v>3.5</v>
      </c>
      <c r="W308" s="10"/>
    </row>
    <row r="309" spans="2:23" s="9" customFormat="1" x14ac:dyDescent="0.2">
      <c r="B309" s="8" t="s">
        <v>365</v>
      </c>
      <c r="C309" s="10">
        <v>9.1999999999999993</v>
      </c>
      <c r="D309" s="10">
        <v>5.52</v>
      </c>
      <c r="E309" s="10">
        <v>10</v>
      </c>
      <c r="F309" s="10">
        <v>9</v>
      </c>
      <c r="G309" s="10">
        <v>6.5</v>
      </c>
      <c r="H309" s="10">
        <v>5</v>
      </c>
      <c r="I309" s="10">
        <v>5</v>
      </c>
      <c r="J309" s="10">
        <v>4</v>
      </c>
      <c r="K309" s="10">
        <v>5.25</v>
      </c>
      <c r="L309" s="10">
        <v>2.25</v>
      </c>
      <c r="M309" s="10">
        <v>1.75</v>
      </c>
      <c r="N309" s="10">
        <v>4.5</v>
      </c>
      <c r="O309" s="10">
        <v>5</v>
      </c>
      <c r="P309" s="10">
        <v>3.75</v>
      </c>
      <c r="Q309" s="10">
        <v>0.75</v>
      </c>
      <c r="R309" s="10">
        <v>0.75</v>
      </c>
      <c r="S309" s="10">
        <v>9</v>
      </c>
      <c r="T309" s="10">
        <v>6.25</v>
      </c>
      <c r="U309" s="10">
        <v>4</v>
      </c>
      <c r="V309" s="10">
        <v>3.5</v>
      </c>
      <c r="W309" s="10"/>
    </row>
    <row r="310" spans="2:23" x14ac:dyDescent="0.2">
      <c r="B310" s="21" t="s">
        <v>366</v>
      </c>
      <c r="C310" s="12">
        <v>9.1999999999999993</v>
      </c>
      <c r="D310" s="12">
        <v>5.52</v>
      </c>
      <c r="E310" s="12">
        <v>10</v>
      </c>
      <c r="F310" s="12">
        <v>9</v>
      </c>
      <c r="G310" s="12">
        <v>6.5</v>
      </c>
      <c r="H310" s="12">
        <v>5</v>
      </c>
      <c r="I310" s="12">
        <v>5</v>
      </c>
      <c r="J310" s="12">
        <v>4</v>
      </c>
      <c r="K310" s="12">
        <v>5.25</v>
      </c>
      <c r="L310" s="12">
        <v>2.25</v>
      </c>
      <c r="M310" s="12">
        <v>1.75</v>
      </c>
      <c r="N310" s="12">
        <v>4.5</v>
      </c>
      <c r="O310" s="12">
        <v>5</v>
      </c>
      <c r="P310" s="12">
        <v>3.25</v>
      </c>
      <c r="Q310" s="12">
        <v>0.75</v>
      </c>
      <c r="R310" s="12">
        <v>0.75</v>
      </c>
      <c r="S310" s="12">
        <v>9</v>
      </c>
      <c r="T310" s="12">
        <v>6.25</v>
      </c>
      <c r="U310" s="22">
        <v>4</v>
      </c>
      <c r="V310" s="22">
        <v>3.5</v>
      </c>
      <c r="W310" s="23"/>
    </row>
    <row r="311" spans="2:23" s="9" customFormat="1" x14ac:dyDescent="0.2">
      <c r="B311" s="8" t="s">
        <v>367</v>
      </c>
      <c r="C311" s="10">
        <v>9.1999999999999993</v>
      </c>
      <c r="D311" s="10">
        <v>5.52</v>
      </c>
      <c r="E311" s="10">
        <v>10</v>
      </c>
      <c r="F311" s="10">
        <v>9</v>
      </c>
      <c r="G311" s="10">
        <v>6.5</v>
      </c>
      <c r="H311" s="10">
        <v>5</v>
      </c>
      <c r="I311" s="10">
        <v>5</v>
      </c>
      <c r="J311" s="10">
        <v>4</v>
      </c>
      <c r="K311" s="10">
        <v>5.25</v>
      </c>
      <c r="L311" s="10">
        <v>2.25</v>
      </c>
      <c r="M311" s="10">
        <v>1.75</v>
      </c>
      <c r="N311" s="10">
        <v>4.5</v>
      </c>
      <c r="O311" s="10">
        <v>5.25</v>
      </c>
      <c r="P311" s="10">
        <v>3.25</v>
      </c>
      <c r="Q311" s="10">
        <v>0.75</v>
      </c>
      <c r="R311" s="10">
        <v>0.75</v>
      </c>
      <c r="S311" s="10">
        <v>9</v>
      </c>
      <c r="T311" s="10">
        <v>6.25</v>
      </c>
      <c r="U311" s="10">
        <v>4</v>
      </c>
      <c r="V311" s="10">
        <v>3.5</v>
      </c>
      <c r="W311" s="10"/>
    </row>
    <row r="312" spans="2:23" s="9" customFormat="1" x14ac:dyDescent="0.2">
      <c r="B312" s="8" t="s">
        <v>368</v>
      </c>
      <c r="C312" s="10">
        <v>9.1999999999999993</v>
      </c>
      <c r="D312" s="10">
        <v>5.52</v>
      </c>
      <c r="E312" s="10">
        <v>10</v>
      </c>
      <c r="F312" s="10">
        <v>9</v>
      </c>
      <c r="G312" s="10">
        <v>6.5</v>
      </c>
      <c r="H312" s="10">
        <v>5</v>
      </c>
      <c r="I312" s="10">
        <v>5</v>
      </c>
      <c r="J312" s="10">
        <v>4</v>
      </c>
      <c r="K312" s="10">
        <v>5.25</v>
      </c>
      <c r="L312" s="10">
        <v>2.25</v>
      </c>
      <c r="M312" s="10">
        <v>1.75</v>
      </c>
      <c r="N312" s="10">
        <v>4.5</v>
      </c>
      <c r="O312" s="10">
        <v>5.25</v>
      </c>
      <c r="P312" s="10">
        <v>3.25</v>
      </c>
      <c r="Q312" s="10">
        <v>0.75</v>
      </c>
      <c r="R312" s="10">
        <v>0.75</v>
      </c>
      <c r="S312" s="10">
        <v>9</v>
      </c>
      <c r="T312" s="10">
        <v>6.25</v>
      </c>
      <c r="U312" s="10">
        <v>4</v>
      </c>
      <c r="V312" s="10">
        <v>3.5</v>
      </c>
      <c r="W312" s="10"/>
    </row>
    <row r="313" spans="2:23" s="9" customFormat="1" x14ac:dyDescent="0.2">
      <c r="B313" s="8" t="s">
        <v>369</v>
      </c>
      <c r="C313" s="10">
        <v>9.1999999999999993</v>
      </c>
      <c r="D313" s="10"/>
      <c r="E313" s="10">
        <v>10</v>
      </c>
      <c r="F313" s="10">
        <v>9</v>
      </c>
      <c r="G313" s="10">
        <v>6.5</v>
      </c>
      <c r="H313" s="10">
        <v>5</v>
      </c>
      <c r="I313" s="10">
        <v>5</v>
      </c>
      <c r="J313" s="10">
        <v>4</v>
      </c>
      <c r="K313" s="10">
        <v>5.25</v>
      </c>
      <c r="L313" s="10">
        <v>2.25</v>
      </c>
      <c r="M313" s="10">
        <v>1.75</v>
      </c>
      <c r="N313" s="10">
        <v>4.5</v>
      </c>
      <c r="O313" s="10">
        <v>5.25</v>
      </c>
      <c r="P313" s="10">
        <v>3.25</v>
      </c>
      <c r="Q313" s="10">
        <v>0.75</v>
      </c>
      <c r="R313" s="10">
        <v>0.75</v>
      </c>
      <c r="S313" s="10">
        <v>9</v>
      </c>
      <c r="T313" s="10">
        <v>6.25</v>
      </c>
      <c r="U313" s="10">
        <v>4</v>
      </c>
      <c r="V313" s="10">
        <v>3.5</v>
      </c>
      <c r="W313" s="10"/>
    </row>
    <row r="314" spans="2:23" s="9" customFormat="1" x14ac:dyDescent="0.2">
      <c r="B314" s="8" t="s">
        <v>370</v>
      </c>
      <c r="C314" s="10"/>
      <c r="D314" s="10"/>
      <c r="E314" s="10">
        <v>10</v>
      </c>
      <c r="F314" s="10">
        <v>9</v>
      </c>
      <c r="G314" s="10">
        <v>6.5</v>
      </c>
      <c r="H314" s="10">
        <v>5</v>
      </c>
      <c r="I314" s="10">
        <v>5</v>
      </c>
      <c r="J314" s="10">
        <v>4</v>
      </c>
      <c r="K314" s="10">
        <v>5.25</v>
      </c>
      <c r="L314" s="10">
        <v>2.25</v>
      </c>
      <c r="M314" s="10">
        <v>1.75</v>
      </c>
      <c r="N314" s="10">
        <v>4.5</v>
      </c>
      <c r="O314" s="10">
        <v>5.25</v>
      </c>
      <c r="P314" s="10">
        <v>3.25</v>
      </c>
      <c r="Q314" s="10">
        <v>0.75</v>
      </c>
      <c r="R314" s="10">
        <v>0.75</v>
      </c>
      <c r="S314" s="10">
        <v>9</v>
      </c>
      <c r="T314" s="10">
        <v>6.25</v>
      </c>
      <c r="U314" s="10">
        <v>4</v>
      </c>
      <c r="V314" s="10">
        <v>3.5</v>
      </c>
      <c r="W314" s="10"/>
    </row>
    <row r="315" spans="2:23" s="9" customFormat="1" x14ac:dyDescent="0.2">
      <c r="B315" s="8" t="s">
        <v>371</v>
      </c>
      <c r="C315" s="10"/>
      <c r="D315" s="10">
        <v>5.52</v>
      </c>
      <c r="E315" s="10">
        <v>10</v>
      </c>
      <c r="F315" s="10">
        <v>9</v>
      </c>
      <c r="G315" s="10">
        <v>6.5</v>
      </c>
      <c r="H315" s="10">
        <v>5</v>
      </c>
      <c r="I315" s="10">
        <v>5</v>
      </c>
      <c r="J315" s="10">
        <v>4</v>
      </c>
      <c r="K315" s="10">
        <v>5.25</v>
      </c>
      <c r="L315" s="10">
        <v>2.25</v>
      </c>
      <c r="M315" s="10">
        <v>1.75</v>
      </c>
      <c r="N315" s="10">
        <v>4.5</v>
      </c>
      <c r="O315" s="10">
        <v>5.25</v>
      </c>
      <c r="P315" s="10">
        <v>3.25</v>
      </c>
      <c r="Q315" s="10">
        <v>0.75</v>
      </c>
      <c r="R315" s="10">
        <v>0.75</v>
      </c>
      <c r="S315" s="10">
        <v>9</v>
      </c>
      <c r="T315" s="10">
        <v>6.25</v>
      </c>
      <c r="U315" s="10">
        <v>4</v>
      </c>
      <c r="V315" s="10">
        <v>3.5</v>
      </c>
      <c r="W315" s="10"/>
    </row>
    <row r="316" spans="2:23" s="9" customFormat="1" x14ac:dyDescent="0.2">
      <c r="B316" s="8" t="s">
        <v>372</v>
      </c>
      <c r="C316" s="10">
        <v>9.1999999999999993</v>
      </c>
      <c r="D316" s="10">
        <v>5.52</v>
      </c>
      <c r="E316" s="10">
        <v>10</v>
      </c>
      <c r="F316" s="10">
        <v>9</v>
      </c>
      <c r="G316" s="10">
        <v>6.5</v>
      </c>
      <c r="H316" s="10">
        <v>5</v>
      </c>
      <c r="I316" s="10">
        <v>5</v>
      </c>
      <c r="J316" s="10">
        <v>4</v>
      </c>
      <c r="K316" s="10">
        <v>5.25</v>
      </c>
      <c r="L316" s="10">
        <v>2.25</v>
      </c>
      <c r="M316" s="10">
        <v>1.75</v>
      </c>
      <c r="N316" s="10">
        <v>4.5</v>
      </c>
      <c r="O316" s="10">
        <v>5.25</v>
      </c>
      <c r="P316" s="10">
        <v>3.25</v>
      </c>
      <c r="Q316" s="10">
        <v>0.75</v>
      </c>
      <c r="R316" s="10">
        <v>0.75</v>
      </c>
      <c r="S316" s="10">
        <v>9</v>
      </c>
      <c r="T316" s="10">
        <v>6.25</v>
      </c>
      <c r="U316" s="10">
        <v>4</v>
      </c>
      <c r="V316" s="10">
        <v>3.5</v>
      </c>
      <c r="W316" s="10"/>
    </row>
    <row r="317" spans="2:23" s="9" customFormat="1" x14ac:dyDescent="0.2">
      <c r="B317" s="8" t="s">
        <v>373</v>
      </c>
      <c r="C317" s="10">
        <v>9.1999999999999993</v>
      </c>
      <c r="D317" s="10">
        <v>5.52</v>
      </c>
      <c r="E317" s="10">
        <v>10</v>
      </c>
      <c r="F317" s="10">
        <v>9</v>
      </c>
      <c r="G317" s="10">
        <v>6.5</v>
      </c>
      <c r="H317" s="10">
        <v>5</v>
      </c>
      <c r="I317" s="10">
        <v>5</v>
      </c>
      <c r="J317" s="10">
        <v>4</v>
      </c>
      <c r="K317" s="10">
        <v>5.25</v>
      </c>
      <c r="L317" s="10">
        <v>2.25</v>
      </c>
      <c r="M317" s="10">
        <v>1.75</v>
      </c>
      <c r="N317" s="10">
        <v>4.5</v>
      </c>
      <c r="O317" s="10">
        <v>5.25</v>
      </c>
      <c r="P317" s="10">
        <v>3.25</v>
      </c>
      <c r="Q317" s="10">
        <v>0.75</v>
      </c>
      <c r="R317" s="10">
        <v>0.75</v>
      </c>
      <c r="S317" s="10">
        <v>9</v>
      </c>
      <c r="T317" s="10">
        <v>6.25</v>
      </c>
      <c r="U317" s="10">
        <v>4</v>
      </c>
      <c r="V317" s="10">
        <v>3.5</v>
      </c>
      <c r="W317" s="10"/>
    </row>
    <row r="318" spans="2:23" s="9" customFormat="1" x14ac:dyDescent="0.2">
      <c r="B318" s="8" t="s">
        <v>374</v>
      </c>
      <c r="C318" s="10">
        <v>9.1999999999999993</v>
      </c>
      <c r="D318" s="10">
        <v>5.52</v>
      </c>
      <c r="E318" s="10">
        <v>10</v>
      </c>
      <c r="F318" s="10">
        <v>9</v>
      </c>
      <c r="G318" s="10">
        <v>6.5</v>
      </c>
      <c r="H318" s="10">
        <v>5</v>
      </c>
      <c r="I318" s="10">
        <v>5</v>
      </c>
      <c r="J318" s="10">
        <v>4</v>
      </c>
      <c r="K318" s="10">
        <v>5.25</v>
      </c>
      <c r="L318" s="10">
        <v>2.25</v>
      </c>
      <c r="M318" s="10">
        <v>1.75</v>
      </c>
      <c r="N318" s="10">
        <v>4.5</v>
      </c>
      <c r="O318" s="10">
        <v>5.25</v>
      </c>
      <c r="P318" s="10">
        <v>3.25</v>
      </c>
      <c r="Q318" s="10">
        <v>0.75</v>
      </c>
      <c r="R318" s="10">
        <v>0.75</v>
      </c>
      <c r="S318" s="10">
        <v>9</v>
      </c>
      <c r="T318" s="10">
        <v>6.25</v>
      </c>
      <c r="U318" s="10">
        <v>4</v>
      </c>
      <c r="V318" s="10">
        <v>3.5</v>
      </c>
      <c r="W318" s="10"/>
    </row>
    <row r="319" spans="2:23" s="9" customFormat="1" x14ac:dyDescent="0.2">
      <c r="B319" s="8" t="s">
        <v>375</v>
      </c>
      <c r="C319" s="10">
        <v>9.1999999999999993</v>
      </c>
      <c r="D319" s="10">
        <v>5.52</v>
      </c>
      <c r="E319" s="10">
        <v>10</v>
      </c>
      <c r="F319" s="10">
        <v>9</v>
      </c>
      <c r="G319" s="10">
        <v>6.5</v>
      </c>
      <c r="H319" s="10">
        <v>5</v>
      </c>
      <c r="I319" s="10">
        <v>5</v>
      </c>
      <c r="J319" s="10">
        <v>4</v>
      </c>
      <c r="K319" s="10">
        <v>5.25</v>
      </c>
      <c r="L319" s="10">
        <v>2.25</v>
      </c>
      <c r="M319" s="10">
        <v>1.75</v>
      </c>
      <c r="N319" s="10">
        <v>4.5</v>
      </c>
      <c r="O319" s="10">
        <v>5.25</v>
      </c>
      <c r="P319" s="10">
        <v>3.25</v>
      </c>
      <c r="Q319" s="10">
        <v>0.75</v>
      </c>
      <c r="R319" s="10">
        <v>0.75</v>
      </c>
      <c r="S319" s="10">
        <v>9</v>
      </c>
      <c r="T319" s="10">
        <v>6.25</v>
      </c>
      <c r="U319" s="10">
        <v>4</v>
      </c>
      <c r="V319" s="10">
        <v>3.5</v>
      </c>
      <c r="W319" s="10"/>
    </row>
    <row r="320" spans="2:23" s="9" customFormat="1" x14ac:dyDescent="0.2">
      <c r="B320" s="8" t="s">
        <v>376</v>
      </c>
      <c r="C320" s="10">
        <v>9.1999999999999993</v>
      </c>
      <c r="D320" s="10"/>
      <c r="E320" s="10">
        <v>10</v>
      </c>
      <c r="F320" s="10">
        <v>9</v>
      </c>
      <c r="G320" s="10">
        <v>6.5</v>
      </c>
      <c r="H320" s="10">
        <v>5</v>
      </c>
      <c r="I320" s="10">
        <v>5</v>
      </c>
      <c r="J320" s="10">
        <v>4</v>
      </c>
      <c r="K320" s="10">
        <v>5.25</v>
      </c>
      <c r="L320" s="10">
        <v>2.25</v>
      </c>
      <c r="M320" s="10">
        <v>1.75</v>
      </c>
      <c r="N320" s="10">
        <v>4.5</v>
      </c>
      <c r="O320" s="10">
        <v>5.25</v>
      </c>
      <c r="P320" s="10">
        <v>3.25</v>
      </c>
      <c r="Q320" s="10">
        <v>0.75</v>
      </c>
      <c r="R320" s="10">
        <v>0.75</v>
      </c>
      <c r="S320" s="10">
        <v>9</v>
      </c>
      <c r="T320" s="10">
        <v>6.25</v>
      </c>
      <c r="U320" s="10">
        <v>4</v>
      </c>
      <c r="V320" s="10">
        <v>3.5</v>
      </c>
      <c r="W320" s="10"/>
    </row>
    <row r="321" spans="2:23" s="9" customFormat="1" x14ac:dyDescent="0.2">
      <c r="B321" s="8" t="s">
        <v>377</v>
      </c>
      <c r="C321" s="10"/>
      <c r="D321" s="10"/>
      <c r="E321" s="10">
        <v>10</v>
      </c>
      <c r="F321" s="10">
        <v>9</v>
      </c>
      <c r="G321" s="10">
        <v>6.5</v>
      </c>
      <c r="H321" s="10">
        <v>5</v>
      </c>
      <c r="I321" s="10">
        <v>5</v>
      </c>
      <c r="J321" s="10">
        <v>4</v>
      </c>
      <c r="K321" s="10">
        <v>5.25</v>
      </c>
      <c r="L321" s="10">
        <v>2.25</v>
      </c>
      <c r="M321" s="10">
        <v>1.75</v>
      </c>
      <c r="N321" s="10">
        <v>4.5</v>
      </c>
      <c r="O321" s="10">
        <v>5.25</v>
      </c>
      <c r="P321" s="10">
        <v>3.25</v>
      </c>
      <c r="Q321" s="10">
        <v>0.75</v>
      </c>
      <c r="R321" s="10">
        <v>0.75</v>
      </c>
      <c r="S321" s="10">
        <v>9</v>
      </c>
      <c r="T321" s="10">
        <v>6.25</v>
      </c>
      <c r="U321" s="10">
        <v>4</v>
      </c>
      <c r="V321" s="10">
        <v>3.5</v>
      </c>
      <c r="W321" s="10"/>
    </row>
    <row r="322" spans="2:23" s="9" customFormat="1" x14ac:dyDescent="0.2">
      <c r="B322" s="8" t="s">
        <v>378</v>
      </c>
      <c r="C322" s="10"/>
      <c r="D322" s="10">
        <v>5.52</v>
      </c>
      <c r="E322" s="10">
        <v>10</v>
      </c>
      <c r="F322" s="10">
        <v>9</v>
      </c>
      <c r="G322" s="10">
        <v>6.5</v>
      </c>
      <c r="H322" s="10">
        <v>5</v>
      </c>
      <c r="I322" s="10">
        <v>5</v>
      </c>
      <c r="J322" s="10">
        <v>4</v>
      </c>
      <c r="K322" s="10">
        <v>5.25</v>
      </c>
      <c r="L322" s="10">
        <v>2.25</v>
      </c>
      <c r="M322" s="10">
        <v>1.75</v>
      </c>
      <c r="N322" s="10">
        <v>4.5</v>
      </c>
      <c r="O322" s="10">
        <v>5.25</v>
      </c>
      <c r="P322" s="10">
        <v>3.25</v>
      </c>
      <c r="Q322" s="10">
        <v>0.75</v>
      </c>
      <c r="R322" s="10">
        <v>0.75</v>
      </c>
      <c r="S322" s="10">
        <v>9</v>
      </c>
      <c r="T322" s="10">
        <v>6.25</v>
      </c>
      <c r="U322" s="10">
        <v>4</v>
      </c>
      <c r="V322" s="10">
        <v>3.5</v>
      </c>
      <c r="W322" s="10"/>
    </row>
    <row r="323" spans="2:23" s="9" customFormat="1" x14ac:dyDescent="0.2">
      <c r="B323" s="8" t="s">
        <v>379</v>
      </c>
      <c r="C323" s="10">
        <v>9.1999999999999993</v>
      </c>
      <c r="D323" s="10">
        <v>5.52</v>
      </c>
      <c r="E323" s="10">
        <v>10</v>
      </c>
      <c r="F323" s="10">
        <v>9</v>
      </c>
      <c r="G323" s="10">
        <v>6.5</v>
      </c>
      <c r="H323" s="10">
        <v>5</v>
      </c>
      <c r="I323" s="10">
        <v>5</v>
      </c>
      <c r="J323" s="10">
        <v>4</v>
      </c>
      <c r="K323" s="10">
        <v>5.25</v>
      </c>
      <c r="L323" s="10">
        <v>2.25</v>
      </c>
      <c r="M323" s="10">
        <v>1.75</v>
      </c>
      <c r="N323" s="10">
        <v>4.5</v>
      </c>
      <c r="O323" s="10">
        <v>5.25</v>
      </c>
      <c r="P323" s="10">
        <v>3.25</v>
      </c>
      <c r="Q323" s="10">
        <v>0.75</v>
      </c>
      <c r="R323" s="10">
        <v>0.75</v>
      </c>
      <c r="S323" s="10">
        <v>9</v>
      </c>
      <c r="T323" s="10">
        <v>6.25</v>
      </c>
      <c r="U323" s="10">
        <v>4</v>
      </c>
      <c r="V323" s="10">
        <v>3.5</v>
      </c>
      <c r="W323" s="10"/>
    </row>
    <row r="324" spans="2:23" s="9" customFormat="1" x14ac:dyDescent="0.2">
      <c r="B324" s="8" t="s">
        <v>380</v>
      </c>
      <c r="C324" s="10">
        <v>9.1999999999999993</v>
      </c>
      <c r="D324" s="10">
        <v>5.52</v>
      </c>
      <c r="E324" s="10">
        <v>10</v>
      </c>
      <c r="F324" s="10">
        <v>9</v>
      </c>
      <c r="G324" s="10">
        <v>6.5</v>
      </c>
      <c r="H324" s="10">
        <v>5</v>
      </c>
      <c r="I324" s="10">
        <v>5</v>
      </c>
      <c r="J324" s="10">
        <v>4</v>
      </c>
      <c r="K324" s="10">
        <v>5.25</v>
      </c>
      <c r="L324" s="10">
        <v>2.25</v>
      </c>
      <c r="M324" s="10">
        <v>1.75</v>
      </c>
      <c r="N324" s="10">
        <v>4.5</v>
      </c>
      <c r="O324" s="10">
        <v>5.25</v>
      </c>
      <c r="P324" s="10">
        <v>3.25</v>
      </c>
      <c r="Q324" s="10">
        <v>0.75</v>
      </c>
      <c r="R324" s="10">
        <v>0.75</v>
      </c>
      <c r="S324" s="10">
        <v>9</v>
      </c>
      <c r="T324" s="10">
        <v>6.25</v>
      </c>
      <c r="U324" s="10">
        <v>4</v>
      </c>
      <c r="V324" s="10">
        <v>3.5</v>
      </c>
      <c r="W324" s="10"/>
    </row>
    <row r="325" spans="2:23" s="9" customFormat="1" x14ac:dyDescent="0.2">
      <c r="B325" s="8" t="s">
        <v>381</v>
      </c>
      <c r="C325" s="10">
        <v>9.1999999999999993</v>
      </c>
      <c r="D325" s="10">
        <v>5.52</v>
      </c>
      <c r="E325" s="10">
        <v>10</v>
      </c>
      <c r="F325" s="10">
        <v>9</v>
      </c>
      <c r="G325" s="10">
        <v>6.5</v>
      </c>
      <c r="H325" s="10">
        <v>5</v>
      </c>
      <c r="I325" s="10">
        <v>5</v>
      </c>
      <c r="J325" s="10">
        <v>4</v>
      </c>
      <c r="K325" s="10">
        <v>5.25</v>
      </c>
      <c r="L325" s="10">
        <v>2.25</v>
      </c>
      <c r="M325" s="10">
        <v>1.75</v>
      </c>
      <c r="N325" s="10">
        <v>4.5</v>
      </c>
      <c r="O325" s="10">
        <v>5.25</v>
      </c>
      <c r="P325" s="10">
        <v>3.25</v>
      </c>
      <c r="Q325" s="10">
        <v>0.75</v>
      </c>
      <c r="R325" s="10">
        <v>0.75</v>
      </c>
      <c r="S325" s="10">
        <v>9</v>
      </c>
      <c r="T325" s="10">
        <v>6.25</v>
      </c>
      <c r="U325" s="10">
        <v>4</v>
      </c>
      <c r="V325" s="10">
        <v>3.5</v>
      </c>
      <c r="W325" s="10"/>
    </row>
    <row r="326" spans="2:23" s="9" customFormat="1" x14ac:dyDescent="0.2">
      <c r="B326" s="8" t="s">
        <v>382</v>
      </c>
      <c r="C326" s="10">
        <v>9.1999999999999993</v>
      </c>
      <c r="D326" s="10">
        <v>5.52</v>
      </c>
      <c r="E326" s="10">
        <v>10</v>
      </c>
      <c r="F326" s="10">
        <v>9</v>
      </c>
      <c r="G326" s="10">
        <v>6.5</v>
      </c>
      <c r="H326" s="10">
        <v>5</v>
      </c>
      <c r="I326" s="10">
        <v>5</v>
      </c>
      <c r="J326" s="10">
        <v>4</v>
      </c>
      <c r="K326" s="10">
        <v>5.25</v>
      </c>
      <c r="L326" s="10">
        <v>2.25</v>
      </c>
      <c r="M326" s="10">
        <v>1.75</v>
      </c>
      <c r="N326" s="10">
        <v>4.5</v>
      </c>
      <c r="O326" s="10">
        <v>5.25</v>
      </c>
      <c r="P326" s="10">
        <v>3.25</v>
      </c>
      <c r="Q326" s="10">
        <v>0.75</v>
      </c>
      <c r="R326" s="10">
        <v>0.75</v>
      </c>
      <c r="S326" s="10">
        <v>9</v>
      </c>
      <c r="T326" s="10">
        <v>6.25</v>
      </c>
      <c r="U326" s="10">
        <v>4</v>
      </c>
      <c r="V326" s="10">
        <v>3.5</v>
      </c>
      <c r="W326" s="10"/>
    </row>
    <row r="327" spans="2:23" s="9" customFormat="1" x14ac:dyDescent="0.2">
      <c r="B327" s="8" t="s">
        <v>383</v>
      </c>
      <c r="C327" s="10">
        <v>9.1999999999999993</v>
      </c>
      <c r="D327" s="10"/>
      <c r="E327" s="10">
        <v>10</v>
      </c>
      <c r="F327" s="10">
        <v>9</v>
      </c>
      <c r="G327" s="10">
        <v>6.5</v>
      </c>
      <c r="H327" s="10">
        <v>5</v>
      </c>
      <c r="I327" s="10">
        <v>5</v>
      </c>
      <c r="J327" s="10">
        <v>4</v>
      </c>
      <c r="K327" s="10">
        <v>5.25</v>
      </c>
      <c r="L327" s="10">
        <v>2.25</v>
      </c>
      <c r="M327" s="10">
        <v>1.75</v>
      </c>
      <c r="N327" s="10">
        <v>4.5</v>
      </c>
      <c r="O327" s="10">
        <v>5.25</v>
      </c>
      <c r="P327" s="10">
        <v>3.25</v>
      </c>
      <c r="Q327" s="10">
        <v>0.75</v>
      </c>
      <c r="R327" s="10">
        <v>0.75</v>
      </c>
      <c r="S327" s="10">
        <v>9</v>
      </c>
      <c r="T327" s="10">
        <v>6.25</v>
      </c>
      <c r="U327" s="10">
        <v>4</v>
      </c>
      <c r="V327" s="10">
        <v>3.5</v>
      </c>
      <c r="W327" s="10"/>
    </row>
    <row r="328" spans="2:23" s="9" customFormat="1" x14ac:dyDescent="0.2">
      <c r="B328" s="8" t="s">
        <v>384</v>
      </c>
      <c r="C328" s="10"/>
      <c r="D328" s="10"/>
      <c r="E328" s="10">
        <v>10</v>
      </c>
      <c r="F328" s="10">
        <v>9</v>
      </c>
      <c r="G328" s="10">
        <v>6.5</v>
      </c>
      <c r="H328" s="10">
        <v>5</v>
      </c>
      <c r="I328" s="10">
        <v>5</v>
      </c>
      <c r="J328" s="10">
        <v>4</v>
      </c>
      <c r="K328" s="10">
        <v>5.25</v>
      </c>
      <c r="L328" s="10">
        <v>2.25</v>
      </c>
      <c r="M328" s="10">
        <v>1.75</v>
      </c>
      <c r="N328" s="10">
        <v>4.5</v>
      </c>
      <c r="O328" s="10">
        <v>5.25</v>
      </c>
      <c r="P328" s="10">
        <v>3.25</v>
      </c>
      <c r="Q328" s="10">
        <v>0.75</v>
      </c>
      <c r="R328" s="10">
        <v>0.75</v>
      </c>
      <c r="S328" s="10">
        <v>9</v>
      </c>
      <c r="T328" s="10">
        <v>6.25</v>
      </c>
      <c r="U328" s="10">
        <v>4</v>
      </c>
      <c r="V328" s="10">
        <v>3.5</v>
      </c>
      <c r="W328" s="10"/>
    </row>
    <row r="329" spans="2:23" s="9" customFormat="1" x14ac:dyDescent="0.2">
      <c r="B329" s="8" t="s">
        <v>385</v>
      </c>
      <c r="C329" s="10"/>
      <c r="D329" s="10">
        <v>5.52</v>
      </c>
      <c r="E329" s="10">
        <v>10</v>
      </c>
      <c r="F329" s="10">
        <v>9</v>
      </c>
      <c r="G329" s="10">
        <v>6.5</v>
      </c>
      <c r="H329" s="10">
        <v>5</v>
      </c>
      <c r="I329" s="10">
        <v>5</v>
      </c>
      <c r="J329" s="10">
        <v>4</v>
      </c>
      <c r="K329" s="10">
        <v>5.25</v>
      </c>
      <c r="L329" s="10">
        <v>2.25</v>
      </c>
      <c r="M329" s="10">
        <v>1.75</v>
      </c>
      <c r="N329" s="10">
        <v>4.5</v>
      </c>
      <c r="O329" s="10">
        <v>5.25</v>
      </c>
      <c r="P329" s="10">
        <v>3.25</v>
      </c>
      <c r="Q329" s="10">
        <v>0.75</v>
      </c>
      <c r="R329" s="10">
        <v>0.75</v>
      </c>
      <c r="S329" s="10">
        <v>9</v>
      </c>
      <c r="T329" s="10">
        <v>6.25</v>
      </c>
      <c r="U329" s="10">
        <v>4</v>
      </c>
      <c r="V329" s="10">
        <v>3.5</v>
      </c>
      <c r="W329" s="10"/>
    </row>
    <row r="330" spans="2:23" s="9" customFormat="1" x14ac:dyDescent="0.2">
      <c r="B330" s="8" t="s">
        <v>386</v>
      </c>
      <c r="C330" s="10">
        <v>9.1999999999999993</v>
      </c>
      <c r="D330" s="10">
        <v>5.52</v>
      </c>
      <c r="E330" s="10">
        <v>10</v>
      </c>
      <c r="F330" s="10">
        <v>9</v>
      </c>
      <c r="G330" s="10">
        <v>6.5</v>
      </c>
      <c r="H330" s="10">
        <v>5</v>
      </c>
      <c r="I330" s="10">
        <v>5</v>
      </c>
      <c r="J330" s="10">
        <v>4</v>
      </c>
      <c r="K330" s="10">
        <v>5.25</v>
      </c>
      <c r="L330" s="10">
        <v>2.25</v>
      </c>
      <c r="M330" s="10">
        <v>1.75</v>
      </c>
      <c r="N330" s="10">
        <v>4.5</v>
      </c>
      <c r="O330" s="10">
        <v>5.25</v>
      </c>
      <c r="P330" s="10">
        <v>3.25</v>
      </c>
      <c r="Q330" s="10">
        <v>0.75</v>
      </c>
      <c r="R330" s="10">
        <v>0.75</v>
      </c>
      <c r="S330" s="10">
        <v>9</v>
      </c>
      <c r="T330" s="10">
        <v>6.25</v>
      </c>
      <c r="U330" s="10">
        <v>4</v>
      </c>
      <c r="V330" s="10">
        <v>3.5</v>
      </c>
      <c r="W330" s="10"/>
    </row>
    <row r="331" spans="2:23" s="9" customFormat="1" x14ac:dyDescent="0.2">
      <c r="B331" s="8" t="s">
        <v>387</v>
      </c>
      <c r="C331" s="10">
        <v>9.1999999999999993</v>
      </c>
      <c r="D331" s="10">
        <v>5.52</v>
      </c>
      <c r="E331" s="10">
        <v>10</v>
      </c>
      <c r="F331" s="10">
        <v>9</v>
      </c>
      <c r="G331" s="10">
        <v>6.5</v>
      </c>
      <c r="H331" s="10">
        <v>5</v>
      </c>
      <c r="I331" s="10">
        <v>5</v>
      </c>
      <c r="J331" s="10">
        <v>4</v>
      </c>
      <c r="K331" s="10">
        <v>5.25</v>
      </c>
      <c r="L331" s="10">
        <v>2.25</v>
      </c>
      <c r="M331" s="10">
        <v>1.75</v>
      </c>
      <c r="N331" s="10">
        <v>4.5</v>
      </c>
      <c r="O331" s="10">
        <v>5.25</v>
      </c>
      <c r="P331" s="10">
        <v>3.25</v>
      </c>
      <c r="Q331" s="10">
        <v>0.75</v>
      </c>
      <c r="R331" s="10">
        <v>0.75</v>
      </c>
      <c r="S331" s="10">
        <v>9</v>
      </c>
      <c r="T331" s="10">
        <v>6.25</v>
      </c>
      <c r="U331" s="10">
        <v>4</v>
      </c>
      <c r="V331" s="10">
        <v>3.5</v>
      </c>
      <c r="W331" s="10"/>
    </row>
    <row r="332" spans="2:23" s="9" customFormat="1" x14ac:dyDescent="0.2">
      <c r="B332" s="8" t="s">
        <v>388</v>
      </c>
      <c r="C332" s="10">
        <v>9.1999999999999993</v>
      </c>
      <c r="D332" s="10">
        <v>5.52</v>
      </c>
      <c r="E332" s="10">
        <v>10</v>
      </c>
      <c r="F332" s="10">
        <v>9</v>
      </c>
      <c r="G332" s="10">
        <v>6.5</v>
      </c>
      <c r="H332" s="10">
        <v>5</v>
      </c>
      <c r="I332" s="10">
        <v>5</v>
      </c>
      <c r="J332" s="10">
        <v>4</v>
      </c>
      <c r="K332" s="10">
        <v>5.25</v>
      </c>
      <c r="L332" s="10">
        <v>2.25</v>
      </c>
      <c r="M332" s="10">
        <v>1.75</v>
      </c>
      <c r="N332" s="10">
        <v>4.5</v>
      </c>
      <c r="O332" s="10">
        <v>5.25</v>
      </c>
      <c r="P332" s="10">
        <v>3.25</v>
      </c>
      <c r="Q332" s="10">
        <v>0.75</v>
      </c>
      <c r="R332" s="10">
        <v>0.75</v>
      </c>
      <c r="S332" s="10">
        <v>9</v>
      </c>
      <c r="T332" s="10">
        <v>6.25</v>
      </c>
      <c r="U332" s="10">
        <v>4</v>
      </c>
      <c r="V332" s="10">
        <v>3.5</v>
      </c>
      <c r="W332" s="10"/>
    </row>
    <row r="333" spans="2:23" s="9" customFormat="1" x14ac:dyDescent="0.2">
      <c r="B333" s="8" t="s">
        <v>389</v>
      </c>
      <c r="C333" s="10">
        <v>9.1999999999999993</v>
      </c>
      <c r="D333" s="10">
        <v>5.52</v>
      </c>
      <c r="E333" s="10">
        <v>10</v>
      </c>
      <c r="F333" s="10">
        <v>9</v>
      </c>
      <c r="G333" s="10">
        <v>6.5</v>
      </c>
      <c r="H333" s="10">
        <v>5</v>
      </c>
      <c r="I333" s="10">
        <v>5</v>
      </c>
      <c r="J333" s="10">
        <v>4</v>
      </c>
      <c r="K333" s="10">
        <v>5.25</v>
      </c>
      <c r="L333" s="10">
        <v>2.25</v>
      </c>
      <c r="M333" s="10">
        <v>1.75</v>
      </c>
      <c r="N333" s="10">
        <v>4.5</v>
      </c>
      <c r="O333" s="10">
        <v>5.25</v>
      </c>
      <c r="P333" s="10">
        <v>3.25</v>
      </c>
      <c r="Q333" s="10">
        <v>0.75</v>
      </c>
      <c r="R333" s="10">
        <v>0.75</v>
      </c>
      <c r="S333" s="10">
        <v>9</v>
      </c>
      <c r="T333" s="10">
        <v>6.25</v>
      </c>
      <c r="U333" s="10">
        <v>4</v>
      </c>
      <c r="V333" s="10">
        <v>3.5</v>
      </c>
      <c r="W333" s="10"/>
    </row>
    <row r="334" spans="2:23" s="9" customFormat="1" x14ac:dyDescent="0.2">
      <c r="B334" s="8" t="s">
        <v>390</v>
      </c>
      <c r="C334" s="10">
        <v>9.1999999999999993</v>
      </c>
      <c r="D334" s="10"/>
      <c r="E334" s="10">
        <v>10</v>
      </c>
      <c r="F334" s="10">
        <v>9</v>
      </c>
      <c r="G334" s="10">
        <v>6.5</v>
      </c>
      <c r="H334" s="10">
        <v>5</v>
      </c>
      <c r="I334" s="10">
        <v>5</v>
      </c>
      <c r="J334" s="10">
        <v>4</v>
      </c>
      <c r="K334" s="10">
        <v>5.25</v>
      </c>
      <c r="L334" s="10">
        <v>2.25</v>
      </c>
      <c r="M334" s="10">
        <v>1.75</v>
      </c>
      <c r="N334" s="10">
        <v>4.5</v>
      </c>
      <c r="O334" s="10">
        <v>5.25</v>
      </c>
      <c r="P334" s="10">
        <v>3.25</v>
      </c>
      <c r="Q334" s="10">
        <v>0.75</v>
      </c>
      <c r="R334" s="10">
        <v>0.75</v>
      </c>
      <c r="S334" s="10">
        <v>9</v>
      </c>
      <c r="T334" s="10">
        <v>6.25</v>
      </c>
      <c r="U334" s="10">
        <v>4</v>
      </c>
      <c r="V334" s="10">
        <v>3.5</v>
      </c>
      <c r="W334" s="10"/>
    </row>
    <row r="335" spans="2:23" s="9" customFormat="1" x14ac:dyDescent="0.2">
      <c r="B335" s="8" t="s">
        <v>391</v>
      </c>
      <c r="C335" s="10"/>
      <c r="D335" s="10"/>
      <c r="E335" s="10">
        <v>10</v>
      </c>
      <c r="F335" s="10">
        <v>9</v>
      </c>
      <c r="G335" s="10">
        <v>6.5</v>
      </c>
      <c r="H335" s="10">
        <v>5</v>
      </c>
      <c r="I335" s="10">
        <v>5</v>
      </c>
      <c r="J335" s="10">
        <v>4</v>
      </c>
      <c r="K335" s="10">
        <v>5.25</v>
      </c>
      <c r="L335" s="10">
        <v>2.25</v>
      </c>
      <c r="M335" s="10">
        <v>1.75</v>
      </c>
      <c r="N335" s="10">
        <v>4.5</v>
      </c>
      <c r="O335" s="10">
        <v>5.25</v>
      </c>
      <c r="P335" s="10">
        <v>3.25</v>
      </c>
      <c r="Q335" s="10">
        <v>0.75</v>
      </c>
      <c r="R335" s="10">
        <v>0.75</v>
      </c>
      <c r="S335" s="10">
        <v>9</v>
      </c>
      <c r="T335" s="10">
        <v>6.25</v>
      </c>
      <c r="U335" s="10">
        <v>4</v>
      </c>
      <c r="V335" s="10">
        <v>3.5</v>
      </c>
      <c r="W335" s="10"/>
    </row>
    <row r="336" spans="2:23" s="9" customFormat="1" x14ac:dyDescent="0.2">
      <c r="B336" s="8" t="s">
        <v>392</v>
      </c>
      <c r="C336" s="10"/>
      <c r="D336" s="10">
        <v>5.52</v>
      </c>
      <c r="E336" s="10">
        <v>10</v>
      </c>
      <c r="F336" s="10">
        <v>9</v>
      </c>
      <c r="G336" s="10">
        <v>6.5</v>
      </c>
      <c r="H336" s="10">
        <v>5</v>
      </c>
      <c r="I336" s="10">
        <v>5</v>
      </c>
      <c r="J336" s="10">
        <v>4</v>
      </c>
      <c r="K336" s="10">
        <v>5.25</v>
      </c>
      <c r="L336" s="10">
        <v>2.25</v>
      </c>
      <c r="M336" s="10">
        <v>1.75</v>
      </c>
      <c r="N336" s="10">
        <v>4.5</v>
      </c>
      <c r="O336" s="10">
        <v>5.25</v>
      </c>
      <c r="P336" s="10">
        <v>3.25</v>
      </c>
      <c r="Q336" s="10">
        <v>0.75</v>
      </c>
      <c r="R336" s="10">
        <v>0.75</v>
      </c>
      <c r="S336" s="10">
        <v>9</v>
      </c>
      <c r="T336" s="10">
        <v>6.25</v>
      </c>
      <c r="U336" s="10">
        <v>4</v>
      </c>
      <c r="V336" s="10">
        <v>3.5</v>
      </c>
      <c r="W336" s="10"/>
    </row>
    <row r="337" spans="2:23" s="9" customFormat="1" x14ac:dyDescent="0.2">
      <c r="B337" s="8" t="s">
        <v>393</v>
      </c>
      <c r="C337" s="10">
        <v>9.1999999999999993</v>
      </c>
      <c r="D337" s="10">
        <v>5.52</v>
      </c>
      <c r="E337" s="10">
        <v>10</v>
      </c>
      <c r="F337" s="10">
        <v>9</v>
      </c>
      <c r="G337" s="10">
        <v>6.5</v>
      </c>
      <c r="H337" s="10">
        <v>5</v>
      </c>
      <c r="I337" s="10">
        <v>5</v>
      </c>
      <c r="J337" s="10">
        <v>4</v>
      </c>
      <c r="K337" s="10">
        <v>5.25</v>
      </c>
      <c r="L337" s="10">
        <v>2.25</v>
      </c>
      <c r="M337" s="10">
        <v>1.75</v>
      </c>
      <c r="N337" s="10">
        <v>4.5</v>
      </c>
      <c r="O337" s="10">
        <v>5.25</v>
      </c>
      <c r="P337" s="10">
        <v>3.25</v>
      </c>
      <c r="Q337" s="10">
        <v>0.75</v>
      </c>
      <c r="R337" s="10">
        <v>0.75</v>
      </c>
      <c r="S337" s="10">
        <v>9</v>
      </c>
      <c r="T337" s="10">
        <v>6.25</v>
      </c>
      <c r="U337" s="10">
        <v>4</v>
      </c>
      <c r="V337" s="10">
        <v>3.5</v>
      </c>
      <c r="W337" s="10"/>
    </row>
    <row r="338" spans="2:23" s="9" customFormat="1" x14ac:dyDescent="0.2">
      <c r="B338" s="8" t="s">
        <v>394</v>
      </c>
      <c r="C338" s="10">
        <v>9.1999999999999993</v>
      </c>
      <c r="D338" s="10">
        <v>5.52</v>
      </c>
      <c r="E338" s="10">
        <v>10</v>
      </c>
      <c r="F338" s="10">
        <v>9</v>
      </c>
      <c r="G338" s="10">
        <v>6.5</v>
      </c>
      <c r="H338" s="10">
        <v>5</v>
      </c>
      <c r="I338" s="10">
        <v>5</v>
      </c>
      <c r="J338" s="10">
        <v>4</v>
      </c>
      <c r="K338" s="10">
        <v>5.25</v>
      </c>
      <c r="L338" s="10">
        <v>2.25</v>
      </c>
      <c r="M338" s="10">
        <v>1.75</v>
      </c>
      <c r="N338" s="10">
        <v>4.5</v>
      </c>
      <c r="O338" s="10">
        <v>5.25</v>
      </c>
      <c r="P338" s="10">
        <v>3.25</v>
      </c>
      <c r="Q338" s="10">
        <v>0.75</v>
      </c>
      <c r="R338" s="10">
        <v>0.75</v>
      </c>
      <c r="S338" s="10">
        <v>9</v>
      </c>
      <c r="T338" s="10">
        <v>6.25</v>
      </c>
      <c r="U338" s="10">
        <v>4</v>
      </c>
      <c r="V338" s="10">
        <v>3.5</v>
      </c>
      <c r="W338" s="10"/>
    </row>
    <row r="339" spans="2:23" s="9" customFormat="1" x14ac:dyDescent="0.2">
      <c r="B339" s="8" t="s">
        <v>395</v>
      </c>
      <c r="C339" s="10">
        <v>9.1999999999999993</v>
      </c>
      <c r="D339" s="10">
        <v>5.52</v>
      </c>
      <c r="E339" s="10">
        <v>10</v>
      </c>
      <c r="F339" s="10">
        <v>9</v>
      </c>
      <c r="G339" s="10">
        <v>6.5</v>
      </c>
      <c r="H339" s="10">
        <v>5</v>
      </c>
      <c r="I339" s="10">
        <v>5</v>
      </c>
      <c r="J339" s="10">
        <v>4</v>
      </c>
      <c r="K339" s="10">
        <v>5.25</v>
      </c>
      <c r="L339" s="10">
        <v>2.25</v>
      </c>
      <c r="M339" s="10">
        <v>1.75</v>
      </c>
      <c r="N339" s="10">
        <v>4.5</v>
      </c>
      <c r="O339" s="10">
        <v>5.25</v>
      </c>
      <c r="P339" s="10">
        <v>3.25</v>
      </c>
      <c r="Q339" s="10">
        <v>0.75</v>
      </c>
      <c r="R339" s="10">
        <v>0.75</v>
      </c>
      <c r="S339" s="10">
        <v>9</v>
      </c>
      <c r="T339" s="10">
        <v>6.25</v>
      </c>
      <c r="U339" s="10">
        <v>4</v>
      </c>
      <c r="V339" s="10">
        <v>3.5</v>
      </c>
      <c r="W339" s="10"/>
    </row>
    <row r="340" spans="2:23" x14ac:dyDescent="0.2">
      <c r="B340" s="21" t="s">
        <v>396</v>
      </c>
      <c r="C340" s="12">
        <v>9.1999999999999993</v>
      </c>
      <c r="D340" s="12">
        <v>5.52</v>
      </c>
      <c r="E340" s="12">
        <v>10</v>
      </c>
      <c r="F340" s="12">
        <v>9</v>
      </c>
      <c r="G340" s="12">
        <v>6.5</v>
      </c>
      <c r="H340" s="12">
        <v>5</v>
      </c>
      <c r="I340" s="12">
        <v>5</v>
      </c>
      <c r="J340" s="12">
        <v>4</v>
      </c>
      <c r="K340" s="12">
        <v>5.25</v>
      </c>
      <c r="L340" s="12">
        <v>2.25</v>
      </c>
      <c r="M340" s="12">
        <v>1.75</v>
      </c>
      <c r="N340" s="12">
        <v>4.75</v>
      </c>
      <c r="O340" s="12">
        <v>5.25</v>
      </c>
      <c r="P340" s="12">
        <v>3.25</v>
      </c>
      <c r="Q340" s="12">
        <v>0.75</v>
      </c>
      <c r="R340" s="12">
        <v>0.75</v>
      </c>
      <c r="S340" s="12">
        <v>9</v>
      </c>
      <c r="T340" s="12">
        <v>6.25</v>
      </c>
      <c r="U340" s="22">
        <v>4</v>
      </c>
      <c r="V340" s="22">
        <v>3.5</v>
      </c>
      <c r="W340" s="23"/>
    </row>
    <row r="341" spans="2:23" s="9" customFormat="1" x14ac:dyDescent="0.2">
      <c r="B341" s="8" t="s">
        <v>397</v>
      </c>
      <c r="C341" s="10">
        <v>9.1999999999999993</v>
      </c>
      <c r="D341" s="10"/>
      <c r="E341" s="10">
        <v>10</v>
      </c>
      <c r="F341" s="10">
        <v>9</v>
      </c>
      <c r="G341" s="10">
        <v>6.5</v>
      </c>
      <c r="H341" s="10">
        <v>5</v>
      </c>
      <c r="I341" s="10">
        <v>5</v>
      </c>
      <c r="J341" s="10">
        <v>4</v>
      </c>
      <c r="K341" s="10">
        <v>5.25</v>
      </c>
      <c r="L341" s="10">
        <v>2.25</v>
      </c>
      <c r="M341" s="10">
        <v>1.75</v>
      </c>
      <c r="N341" s="10">
        <v>4.75</v>
      </c>
      <c r="O341" s="10">
        <v>5.25</v>
      </c>
      <c r="P341" s="10">
        <v>3.25</v>
      </c>
      <c r="Q341" s="10">
        <v>0.75</v>
      </c>
      <c r="R341" s="10">
        <v>0.75</v>
      </c>
      <c r="S341" s="10">
        <v>9</v>
      </c>
      <c r="T341" s="10">
        <v>6.25</v>
      </c>
      <c r="U341" s="10">
        <v>4</v>
      </c>
      <c r="V341" s="10">
        <v>3.5</v>
      </c>
      <c r="W341" s="10"/>
    </row>
    <row r="342" spans="2:23" s="9" customFormat="1" x14ac:dyDescent="0.2">
      <c r="B342" s="8" t="s">
        <v>398</v>
      </c>
      <c r="C342" s="10"/>
      <c r="D342" s="10"/>
      <c r="E342" s="10">
        <v>10</v>
      </c>
      <c r="F342" s="10">
        <v>9</v>
      </c>
      <c r="G342" s="10">
        <v>6.5</v>
      </c>
      <c r="H342" s="10">
        <v>5</v>
      </c>
      <c r="I342" s="10">
        <v>5</v>
      </c>
      <c r="J342" s="10">
        <v>4</v>
      </c>
      <c r="K342" s="10">
        <v>5.25</v>
      </c>
      <c r="L342" s="10">
        <v>2.25</v>
      </c>
      <c r="M342" s="10">
        <v>1.75</v>
      </c>
      <c r="N342" s="10">
        <v>4.75</v>
      </c>
      <c r="O342" s="10">
        <v>5.25</v>
      </c>
      <c r="P342" s="10">
        <v>3.25</v>
      </c>
      <c r="Q342" s="10">
        <v>0.75</v>
      </c>
      <c r="R342" s="10">
        <v>0.75</v>
      </c>
      <c r="S342" s="10">
        <v>9</v>
      </c>
      <c r="T342" s="10">
        <v>6.25</v>
      </c>
      <c r="U342" s="10">
        <v>4</v>
      </c>
      <c r="V342" s="10">
        <v>3.5</v>
      </c>
      <c r="W342" s="10"/>
    </row>
    <row r="343" spans="2:23" s="9" customFormat="1" x14ac:dyDescent="0.2">
      <c r="B343" s="8" t="s">
        <v>399</v>
      </c>
      <c r="C343" s="10"/>
      <c r="D343" s="10">
        <v>5.52</v>
      </c>
      <c r="E343" s="10">
        <v>10</v>
      </c>
      <c r="F343" s="10">
        <v>9</v>
      </c>
      <c r="G343" s="10">
        <v>6.5</v>
      </c>
      <c r="H343" s="10">
        <v>5</v>
      </c>
      <c r="I343" s="10">
        <v>5</v>
      </c>
      <c r="J343" s="10">
        <v>4</v>
      </c>
      <c r="K343" s="10">
        <v>5.25</v>
      </c>
      <c r="L343" s="10">
        <v>2.25</v>
      </c>
      <c r="M343" s="10">
        <v>1.75</v>
      </c>
      <c r="N343" s="10">
        <v>4.75</v>
      </c>
      <c r="O343" s="10">
        <v>5.25</v>
      </c>
      <c r="P343" s="10">
        <v>3.25</v>
      </c>
      <c r="Q343" s="10">
        <v>0.75</v>
      </c>
      <c r="R343" s="10">
        <v>0.75</v>
      </c>
      <c r="S343" s="10">
        <v>9</v>
      </c>
      <c r="T343" s="10">
        <v>6.25</v>
      </c>
      <c r="U343" s="10">
        <v>4</v>
      </c>
      <c r="V343" s="10">
        <v>3.5</v>
      </c>
      <c r="W343" s="10"/>
    </row>
    <row r="344" spans="2:23" s="9" customFormat="1" x14ac:dyDescent="0.2">
      <c r="B344" s="8" t="s">
        <v>400</v>
      </c>
      <c r="C344" s="10">
        <v>9.1999999999999993</v>
      </c>
      <c r="D344" s="10">
        <v>5.52</v>
      </c>
      <c r="E344" s="10">
        <v>10</v>
      </c>
      <c r="F344" s="10">
        <v>9</v>
      </c>
      <c r="G344" s="10">
        <v>6.5</v>
      </c>
      <c r="H344" s="10">
        <v>5</v>
      </c>
      <c r="I344" s="10">
        <v>5</v>
      </c>
      <c r="J344" s="10">
        <v>4</v>
      </c>
      <c r="K344" s="10">
        <v>5.25</v>
      </c>
      <c r="L344" s="10">
        <v>2.25</v>
      </c>
      <c r="M344" s="10">
        <v>1.75</v>
      </c>
      <c r="N344" s="10">
        <v>4.75</v>
      </c>
      <c r="O344" s="10">
        <v>5.25</v>
      </c>
      <c r="P344" s="10">
        <v>3.25</v>
      </c>
      <c r="Q344" s="10">
        <v>0.75</v>
      </c>
      <c r="R344" s="10">
        <v>0.75</v>
      </c>
      <c r="S344" s="10">
        <v>9</v>
      </c>
      <c r="T344" s="10">
        <v>6.25</v>
      </c>
      <c r="U344" s="10">
        <v>4</v>
      </c>
      <c r="V344" s="10">
        <v>3.5</v>
      </c>
      <c r="W344" s="10"/>
    </row>
    <row r="345" spans="2:23" s="9" customFormat="1" x14ac:dyDescent="0.2">
      <c r="B345" s="8" t="s">
        <v>401</v>
      </c>
      <c r="C345" s="10">
        <v>9.1999999999999993</v>
      </c>
      <c r="D345" s="10">
        <v>5.52</v>
      </c>
      <c r="E345" s="10">
        <v>10</v>
      </c>
      <c r="F345" s="10">
        <v>9</v>
      </c>
      <c r="G345" s="10">
        <v>6.5</v>
      </c>
      <c r="H345" s="10">
        <v>5</v>
      </c>
      <c r="I345" s="10">
        <v>5</v>
      </c>
      <c r="J345" s="10">
        <v>4</v>
      </c>
      <c r="K345" s="10">
        <v>5.25</v>
      </c>
      <c r="L345" s="10">
        <v>2.25</v>
      </c>
      <c r="M345" s="10">
        <v>1.75</v>
      </c>
      <c r="N345" s="10">
        <v>4.75</v>
      </c>
      <c r="O345" s="10">
        <v>5.25</v>
      </c>
      <c r="P345" s="10">
        <v>3.25</v>
      </c>
      <c r="Q345" s="10">
        <v>0.75</v>
      </c>
      <c r="R345" s="10">
        <v>0.75</v>
      </c>
      <c r="S345" s="10">
        <v>9</v>
      </c>
      <c r="T345" s="10">
        <v>6.25</v>
      </c>
      <c r="U345" s="10">
        <v>4</v>
      </c>
      <c r="V345" s="10">
        <v>3.5</v>
      </c>
      <c r="W345" s="10"/>
    </row>
    <row r="346" spans="2:23" s="9" customFormat="1" x14ac:dyDescent="0.2">
      <c r="B346" s="8" t="s">
        <v>402</v>
      </c>
      <c r="C346" s="10">
        <v>9.1999999999999993</v>
      </c>
      <c r="D346" s="10">
        <v>5.52</v>
      </c>
      <c r="E346" s="10">
        <v>10</v>
      </c>
      <c r="F346" s="10">
        <v>9</v>
      </c>
      <c r="G346" s="10">
        <v>6.5</v>
      </c>
      <c r="H346" s="10">
        <v>5</v>
      </c>
      <c r="I346" s="10">
        <v>5</v>
      </c>
      <c r="J346" s="10">
        <v>4</v>
      </c>
      <c r="K346" s="10">
        <v>5.25</v>
      </c>
      <c r="L346" s="10">
        <v>2.25</v>
      </c>
      <c r="M346" s="10">
        <v>1.75</v>
      </c>
      <c r="N346" s="10">
        <v>4.75</v>
      </c>
      <c r="O346" s="10">
        <v>5.25</v>
      </c>
      <c r="P346" s="10">
        <v>3.25</v>
      </c>
      <c r="Q346" s="10">
        <v>0.75</v>
      </c>
      <c r="R346" s="10">
        <v>0.75</v>
      </c>
      <c r="S346" s="10">
        <v>9</v>
      </c>
      <c r="T346" s="10">
        <v>6.25</v>
      </c>
      <c r="U346" s="10">
        <v>4</v>
      </c>
      <c r="V346" s="10">
        <v>3.5</v>
      </c>
      <c r="W346" s="10"/>
    </row>
    <row r="347" spans="2:23" s="9" customFormat="1" x14ac:dyDescent="0.2">
      <c r="B347" s="8" t="s">
        <v>403</v>
      </c>
      <c r="C347" s="10">
        <v>8.9700000000000006</v>
      </c>
      <c r="D347" s="10">
        <v>5.52</v>
      </c>
      <c r="E347" s="10">
        <v>10</v>
      </c>
      <c r="F347" s="10">
        <v>9</v>
      </c>
      <c r="G347" s="10">
        <v>6.5</v>
      </c>
      <c r="H347" s="10">
        <v>5</v>
      </c>
      <c r="I347" s="10">
        <v>5</v>
      </c>
      <c r="J347" s="10">
        <v>4</v>
      </c>
      <c r="K347" s="10">
        <v>5.25</v>
      </c>
      <c r="L347" s="10">
        <v>2.25</v>
      </c>
      <c r="M347" s="10">
        <v>1.75</v>
      </c>
      <c r="N347" s="10">
        <v>4.75</v>
      </c>
      <c r="O347" s="10">
        <v>5.25</v>
      </c>
      <c r="P347" s="10">
        <v>3.25</v>
      </c>
      <c r="Q347" s="10">
        <v>0.75</v>
      </c>
      <c r="R347" s="10">
        <v>0.75</v>
      </c>
      <c r="S347" s="10">
        <v>9</v>
      </c>
      <c r="T347" s="10">
        <v>6.25</v>
      </c>
      <c r="U347" s="10">
        <v>4</v>
      </c>
      <c r="V347" s="10">
        <v>3.5</v>
      </c>
      <c r="W347" s="10"/>
    </row>
    <row r="348" spans="2:23" s="9" customFormat="1" x14ac:dyDescent="0.2">
      <c r="B348" s="8" t="s">
        <v>404</v>
      </c>
      <c r="C348" s="10">
        <v>8.9700000000000006</v>
      </c>
      <c r="D348" s="10"/>
      <c r="E348" s="10">
        <v>10</v>
      </c>
      <c r="F348" s="10">
        <v>9</v>
      </c>
      <c r="G348" s="10">
        <v>6.5</v>
      </c>
      <c r="H348" s="10">
        <v>5</v>
      </c>
      <c r="I348" s="10">
        <v>5</v>
      </c>
      <c r="J348" s="10">
        <v>4</v>
      </c>
      <c r="K348" s="10">
        <v>5.25</v>
      </c>
      <c r="L348" s="10">
        <v>2.25</v>
      </c>
      <c r="M348" s="10">
        <v>1.75</v>
      </c>
      <c r="N348" s="10">
        <v>4.75</v>
      </c>
      <c r="O348" s="10">
        <v>5.25</v>
      </c>
      <c r="P348" s="10">
        <v>3.25</v>
      </c>
      <c r="Q348" s="10">
        <v>0.75</v>
      </c>
      <c r="R348" s="10">
        <v>0.75</v>
      </c>
      <c r="S348" s="10">
        <v>9</v>
      </c>
      <c r="T348" s="10">
        <v>6.25</v>
      </c>
      <c r="U348" s="10">
        <v>4</v>
      </c>
      <c r="V348" s="10">
        <v>3.5</v>
      </c>
      <c r="W348" s="10"/>
    </row>
    <row r="349" spans="2:23" s="9" customFormat="1" x14ac:dyDescent="0.2">
      <c r="B349" s="8" t="s">
        <v>405</v>
      </c>
      <c r="C349" s="10"/>
      <c r="D349" s="10"/>
      <c r="E349" s="10">
        <v>10</v>
      </c>
      <c r="F349" s="10">
        <v>9</v>
      </c>
      <c r="G349" s="10">
        <v>6.5</v>
      </c>
      <c r="H349" s="10">
        <v>5</v>
      </c>
      <c r="I349" s="10">
        <v>5</v>
      </c>
      <c r="J349" s="10">
        <v>4</v>
      </c>
      <c r="K349" s="10">
        <v>5.25</v>
      </c>
      <c r="L349" s="10">
        <v>2.25</v>
      </c>
      <c r="M349" s="10">
        <v>1.75</v>
      </c>
      <c r="N349" s="10">
        <v>4.75</v>
      </c>
      <c r="O349" s="10">
        <v>5.25</v>
      </c>
      <c r="P349" s="10">
        <v>3.25</v>
      </c>
      <c r="Q349" s="10">
        <v>0.75</v>
      </c>
      <c r="R349" s="10">
        <v>0.75</v>
      </c>
      <c r="S349" s="10">
        <v>9</v>
      </c>
      <c r="T349" s="10">
        <v>6.25</v>
      </c>
      <c r="U349" s="10">
        <v>4</v>
      </c>
      <c r="V349" s="10">
        <v>3.5</v>
      </c>
      <c r="W349" s="10"/>
    </row>
    <row r="350" spans="2:23" s="9" customFormat="1" x14ac:dyDescent="0.2">
      <c r="B350" s="8" t="s">
        <v>406</v>
      </c>
      <c r="C350" s="10"/>
      <c r="D350" s="10">
        <v>5.52</v>
      </c>
      <c r="E350" s="10">
        <v>10</v>
      </c>
      <c r="F350" s="10">
        <v>9</v>
      </c>
      <c r="G350" s="10">
        <v>6.5</v>
      </c>
      <c r="H350" s="10">
        <v>5</v>
      </c>
      <c r="I350" s="10">
        <v>5</v>
      </c>
      <c r="J350" s="10">
        <v>4</v>
      </c>
      <c r="K350" s="10">
        <v>5.25</v>
      </c>
      <c r="L350" s="10">
        <v>2.25</v>
      </c>
      <c r="M350" s="10">
        <v>1.75</v>
      </c>
      <c r="N350" s="10">
        <v>4.75</v>
      </c>
      <c r="O350" s="10">
        <v>5.25</v>
      </c>
      <c r="P350" s="10">
        <v>3.25</v>
      </c>
      <c r="Q350" s="10">
        <v>0.75</v>
      </c>
      <c r="R350" s="10">
        <v>0.75</v>
      </c>
      <c r="S350" s="10">
        <v>9</v>
      </c>
      <c r="T350" s="10">
        <v>6.25</v>
      </c>
      <c r="U350" s="10">
        <v>4</v>
      </c>
      <c r="V350" s="10">
        <v>3.5</v>
      </c>
      <c r="W350" s="10"/>
    </row>
    <row r="351" spans="2:23" s="9" customFormat="1" x14ac:dyDescent="0.2">
      <c r="B351" s="8" t="s">
        <v>407</v>
      </c>
      <c r="C351" s="10">
        <v>8.9700000000000006</v>
      </c>
      <c r="D351" s="10">
        <v>5.52</v>
      </c>
      <c r="E351" s="10">
        <v>10</v>
      </c>
      <c r="F351" s="10">
        <v>9</v>
      </c>
      <c r="G351" s="10">
        <v>6.5</v>
      </c>
      <c r="H351" s="10">
        <v>5</v>
      </c>
      <c r="I351" s="10">
        <v>5</v>
      </c>
      <c r="J351" s="10">
        <v>4</v>
      </c>
      <c r="K351" s="10">
        <v>5.25</v>
      </c>
      <c r="L351" s="10">
        <v>2.25</v>
      </c>
      <c r="M351" s="10">
        <v>1.75</v>
      </c>
      <c r="N351" s="10">
        <v>4.75</v>
      </c>
      <c r="O351" s="10">
        <v>5.25</v>
      </c>
      <c r="P351" s="10">
        <v>3.25</v>
      </c>
      <c r="Q351" s="10">
        <v>0.75</v>
      </c>
      <c r="R351" s="10">
        <v>0.75</v>
      </c>
      <c r="S351" s="10">
        <v>9</v>
      </c>
      <c r="T351" s="10">
        <v>6.25</v>
      </c>
      <c r="U351" s="10">
        <v>4</v>
      </c>
      <c r="V351" s="10">
        <v>3.5</v>
      </c>
      <c r="W351" s="10"/>
    </row>
    <row r="352" spans="2:23" s="9" customFormat="1" x14ac:dyDescent="0.2">
      <c r="B352" s="8" t="s">
        <v>408</v>
      </c>
      <c r="C352" s="10">
        <v>8.9700000000000006</v>
      </c>
      <c r="D352" s="10">
        <v>5.52</v>
      </c>
      <c r="E352" s="10">
        <v>10</v>
      </c>
      <c r="F352" s="10">
        <v>9</v>
      </c>
      <c r="G352" s="10">
        <v>6.5</v>
      </c>
      <c r="H352" s="10">
        <v>5</v>
      </c>
      <c r="I352" s="10">
        <v>5</v>
      </c>
      <c r="J352" s="10">
        <v>4</v>
      </c>
      <c r="K352" s="10">
        <v>5.25</v>
      </c>
      <c r="L352" s="10">
        <v>2.25</v>
      </c>
      <c r="M352" s="10">
        <v>1.75</v>
      </c>
      <c r="N352" s="10">
        <v>4.75</v>
      </c>
      <c r="O352" s="10">
        <v>5.25</v>
      </c>
      <c r="P352" s="10">
        <v>3.25</v>
      </c>
      <c r="Q352" s="10">
        <v>0.75</v>
      </c>
      <c r="R352" s="10">
        <v>0.75</v>
      </c>
      <c r="S352" s="10">
        <v>9</v>
      </c>
      <c r="T352" s="10">
        <v>6.25</v>
      </c>
      <c r="U352" s="10">
        <v>4</v>
      </c>
      <c r="V352" s="10">
        <v>3.5</v>
      </c>
      <c r="W352" s="10"/>
    </row>
    <row r="353" spans="2:23" s="9" customFormat="1" x14ac:dyDescent="0.2">
      <c r="B353" s="8" t="s">
        <v>409</v>
      </c>
      <c r="C353" s="10">
        <v>8.9700000000000006</v>
      </c>
      <c r="D353" s="10">
        <v>5.52</v>
      </c>
      <c r="E353" s="10">
        <v>10</v>
      </c>
      <c r="F353" s="10">
        <v>9</v>
      </c>
      <c r="G353" s="10">
        <v>6.5</v>
      </c>
      <c r="H353" s="10">
        <v>5</v>
      </c>
      <c r="I353" s="10">
        <v>5</v>
      </c>
      <c r="J353" s="10">
        <v>4</v>
      </c>
      <c r="K353" s="10">
        <v>5.25</v>
      </c>
      <c r="L353" s="10">
        <v>2.25</v>
      </c>
      <c r="M353" s="10">
        <v>1.75</v>
      </c>
      <c r="N353" s="10">
        <v>4.75</v>
      </c>
      <c r="O353" s="10">
        <v>5.25</v>
      </c>
      <c r="P353" s="10">
        <v>3.25</v>
      </c>
      <c r="Q353" s="10">
        <v>0.75</v>
      </c>
      <c r="R353" s="10">
        <v>0.75</v>
      </c>
      <c r="S353" s="10">
        <v>9</v>
      </c>
      <c r="T353" s="10">
        <v>6.25</v>
      </c>
      <c r="U353" s="10">
        <v>4</v>
      </c>
      <c r="V353" s="10">
        <v>3.5</v>
      </c>
      <c r="W353" s="10"/>
    </row>
    <row r="354" spans="2:23" s="9" customFormat="1" x14ac:dyDescent="0.2">
      <c r="B354" s="8" t="s">
        <v>410</v>
      </c>
      <c r="C354" s="10">
        <v>8.9700000000000006</v>
      </c>
      <c r="D354" s="10">
        <v>5.52</v>
      </c>
      <c r="E354" s="10">
        <v>10</v>
      </c>
      <c r="F354" s="10">
        <v>9</v>
      </c>
      <c r="G354" s="10">
        <v>6.5</v>
      </c>
      <c r="H354" s="10">
        <v>5</v>
      </c>
      <c r="I354" s="10">
        <v>5</v>
      </c>
      <c r="J354" s="10">
        <v>4</v>
      </c>
      <c r="K354" s="10">
        <v>5.25</v>
      </c>
      <c r="L354" s="10">
        <v>2.25</v>
      </c>
      <c r="M354" s="10">
        <v>1.75</v>
      </c>
      <c r="N354" s="10">
        <v>4.75</v>
      </c>
      <c r="O354" s="10">
        <v>5.25</v>
      </c>
      <c r="P354" s="10">
        <v>3.25</v>
      </c>
      <c r="Q354" s="10">
        <v>0.75</v>
      </c>
      <c r="R354" s="10">
        <v>0.75</v>
      </c>
      <c r="S354" s="10">
        <v>9</v>
      </c>
      <c r="T354" s="10">
        <v>6.25</v>
      </c>
      <c r="U354" s="10">
        <v>4</v>
      </c>
      <c r="V354" s="10">
        <v>3.5</v>
      </c>
      <c r="W354" s="10"/>
    </row>
    <row r="355" spans="2:23" s="9" customFormat="1" x14ac:dyDescent="0.2">
      <c r="B355" s="8" t="s">
        <v>411</v>
      </c>
      <c r="C355" s="10">
        <v>8.9700000000000006</v>
      </c>
      <c r="D355" s="10"/>
      <c r="E355" s="10">
        <v>10</v>
      </c>
      <c r="F355" s="10">
        <v>9</v>
      </c>
      <c r="G355" s="10">
        <v>6.5</v>
      </c>
      <c r="H355" s="10">
        <v>5</v>
      </c>
      <c r="I355" s="10">
        <v>5</v>
      </c>
      <c r="J355" s="10">
        <v>4</v>
      </c>
      <c r="K355" s="10">
        <v>5.25</v>
      </c>
      <c r="L355" s="10">
        <v>2.25</v>
      </c>
      <c r="M355" s="10">
        <v>1.75</v>
      </c>
      <c r="N355" s="10">
        <v>4.75</v>
      </c>
      <c r="O355" s="10">
        <v>5.25</v>
      </c>
      <c r="P355" s="10">
        <v>3.25</v>
      </c>
      <c r="Q355" s="10">
        <v>0.75</v>
      </c>
      <c r="R355" s="10">
        <v>0.75</v>
      </c>
      <c r="S355" s="10">
        <v>9</v>
      </c>
      <c r="T355" s="10">
        <v>6.25</v>
      </c>
      <c r="U355" s="10">
        <v>4</v>
      </c>
      <c r="V355" s="10">
        <v>3.5</v>
      </c>
      <c r="W355" s="10"/>
    </row>
    <row r="356" spans="2:23" s="9" customFormat="1" x14ac:dyDescent="0.2">
      <c r="B356" s="8" t="s">
        <v>412</v>
      </c>
      <c r="C356" s="10"/>
      <c r="D356" s="10"/>
      <c r="E356" s="10">
        <v>10</v>
      </c>
      <c r="F356" s="10">
        <v>9</v>
      </c>
      <c r="G356" s="10">
        <v>6.5</v>
      </c>
      <c r="H356" s="10">
        <v>5</v>
      </c>
      <c r="I356" s="10">
        <v>5</v>
      </c>
      <c r="J356" s="10">
        <v>4</v>
      </c>
      <c r="K356" s="10">
        <v>5.25</v>
      </c>
      <c r="L356" s="10">
        <v>2.25</v>
      </c>
      <c r="M356" s="10">
        <v>1.75</v>
      </c>
      <c r="N356" s="10">
        <v>4.75</v>
      </c>
      <c r="O356" s="10">
        <v>5.25</v>
      </c>
      <c r="P356" s="10">
        <v>3.25</v>
      </c>
      <c r="Q356" s="10">
        <v>0.75</v>
      </c>
      <c r="R356" s="10">
        <v>1.25</v>
      </c>
      <c r="S356" s="10">
        <v>9</v>
      </c>
      <c r="T356" s="10">
        <v>6.25</v>
      </c>
      <c r="U356" s="10">
        <v>4</v>
      </c>
      <c r="V356" s="10">
        <v>3.5</v>
      </c>
      <c r="W356" s="10"/>
    </row>
    <row r="357" spans="2:23" s="9" customFormat="1" x14ac:dyDescent="0.2">
      <c r="B357" s="8" t="s">
        <v>413</v>
      </c>
      <c r="C357" s="10"/>
      <c r="D357" s="10">
        <v>5.52</v>
      </c>
      <c r="E357" s="10">
        <v>10</v>
      </c>
      <c r="F357" s="10">
        <v>9</v>
      </c>
      <c r="G357" s="10">
        <v>6.5</v>
      </c>
      <c r="H357" s="10">
        <v>5</v>
      </c>
      <c r="I357" s="10">
        <v>5</v>
      </c>
      <c r="J357" s="10">
        <v>4</v>
      </c>
      <c r="K357" s="10">
        <v>5.25</v>
      </c>
      <c r="L357" s="10">
        <v>2.25</v>
      </c>
      <c r="M357" s="10">
        <v>1.75</v>
      </c>
      <c r="N357" s="10">
        <v>4.75</v>
      </c>
      <c r="O357" s="10">
        <v>5.25</v>
      </c>
      <c r="P357" s="10">
        <v>3.25</v>
      </c>
      <c r="Q357" s="10">
        <v>0.75</v>
      </c>
      <c r="R357" s="10">
        <v>1.25</v>
      </c>
      <c r="S357" s="10">
        <v>9</v>
      </c>
      <c r="T357" s="10">
        <v>6.25</v>
      </c>
      <c r="U357" s="10">
        <v>4</v>
      </c>
      <c r="V357" s="10">
        <v>3.5</v>
      </c>
      <c r="W357" s="10"/>
    </row>
    <row r="358" spans="2:23" s="9" customFormat="1" x14ac:dyDescent="0.2">
      <c r="B358" s="8" t="s">
        <v>414</v>
      </c>
      <c r="C358" s="10">
        <v>8.9700000000000006</v>
      </c>
      <c r="D358" s="10">
        <v>5.52</v>
      </c>
      <c r="E358" s="10">
        <v>10</v>
      </c>
      <c r="F358" s="10">
        <v>9</v>
      </c>
      <c r="G358" s="10">
        <v>6.5</v>
      </c>
      <c r="H358" s="10">
        <v>5</v>
      </c>
      <c r="I358" s="10">
        <v>5</v>
      </c>
      <c r="J358" s="10">
        <v>4</v>
      </c>
      <c r="K358" s="10">
        <v>5.25</v>
      </c>
      <c r="L358" s="10">
        <v>2.25</v>
      </c>
      <c r="M358" s="10">
        <v>1.75</v>
      </c>
      <c r="N358" s="10">
        <v>4.75</v>
      </c>
      <c r="O358" s="10">
        <v>5.25</v>
      </c>
      <c r="P358" s="10">
        <v>3.25</v>
      </c>
      <c r="Q358" s="10">
        <v>0.75</v>
      </c>
      <c r="R358" s="10">
        <v>1.25</v>
      </c>
      <c r="S358" s="10">
        <v>9</v>
      </c>
      <c r="T358" s="10">
        <v>6.25</v>
      </c>
      <c r="U358" s="10">
        <v>4</v>
      </c>
      <c r="V358" s="10">
        <v>3.5</v>
      </c>
      <c r="W358" s="10"/>
    </row>
    <row r="359" spans="2:23" s="9" customFormat="1" x14ac:dyDescent="0.2">
      <c r="B359" s="8" t="s">
        <v>415</v>
      </c>
      <c r="C359" s="10">
        <v>8.9700000000000006</v>
      </c>
      <c r="D359" s="10">
        <v>5.52</v>
      </c>
      <c r="E359" s="10">
        <v>10</v>
      </c>
      <c r="F359" s="10">
        <v>9</v>
      </c>
      <c r="G359" s="10">
        <v>6.5</v>
      </c>
      <c r="H359" s="10">
        <v>5</v>
      </c>
      <c r="I359" s="10">
        <v>5</v>
      </c>
      <c r="J359" s="10">
        <v>3.75</v>
      </c>
      <c r="K359" s="10">
        <v>5.25</v>
      </c>
      <c r="L359" s="10">
        <v>2.25</v>
      </c>
      <c r="M359" s="10">
        <v>1.75</v>
      </c>
      <c r="N359" s="10">
        <v>4.75</v>
      </c>
      <c r="O359" s="10">
        <v>5.25</v>
      </c>
      <c r="P359" s="10">
        <v>2.75</v>
      </c>
      <c r="Q359" s="10">
        <v>0.75</v>
      </c>
      <c r="R359" s="10">
        <v>1.25</v>
      </c>
      <c r="S359" s="10">
        <v>9</v>
      </c>
      <c r="T359" s="10">
        <v>6.25</v>
      </c>
      <c r="U359" s="10">
        <v>4</v>
      </c>
      <c r="V359" s="10">
        <v>3.25</v>
      </c>
      <c r="W359" s="10"/>
    </row>
    <row r="360" spans="2:23" s="9" customFormat="1" x14ac:dyDescent="0.2">
      <c r="B360" s="8" t="s">
        <v>416</v>
      </c>
      <c r="C360" s="10">
        <v>8.9700000000000006</v>
      </c>
      <c r="D360" s="10">
        <v>5.52</v>
      </c>
      <c r="E360" s="10">
        <v>10</v>
      </c>
      <c r="F360" s="10">
        <v>9</v>
      </c>
      <c r="G360" s="10">
        <v>6.5</v>
      </c>
      <c r="H360" s="10">
        <v>5</v>
      </c>
      <c r="I360" s="10">
        <v>5</v>
      </c>
      <c r="J360" s="10">
        <v>3.75</v>
      </c>
      <c r="K360" s="10">
        <v>5.25</v>
      </c>
      <c r="L360" s="10">
        <v>2.25</v>
      </c>
      <c r="M360" s="10">
        <v>1.75</v>
      </c>
      <c r="N360" s="10">
        <v>4.75</v>
      </c>
      <c r="O360" s="10">
        <v>5.25</v>
      </c>
      <c r="P360" s="10">
        <v>2.75</v>
      </c>
      <c r="Q360" s="10">
        <v>0.75</v>
      </c>
      <c r="R360" s="10">
        <v>1.25</v>
      </c>
      <c r="S360" s="10">
        <v>9</v>
      </c>
      <c r="T360" s="10">
        <v>6.25</v>
      </c>
      <c r="U360" s="10">
        <v>4</v>
      </c>
      <c r="V360" s="10">
        <v>3.25</v>
      </c>
      <c r="W360" s="10"/>
    </row>
    <row r="361" spans="2:23" s="9" customFormat="1" x14ac:dyDescent="0.2">
      <c r="B361" s="8" t="s">
        <v>417</v>
      </c>
      <c r="C361" s="10">
        <v>8.9700000000000006</v>
      </c>
      <c r="D361" s="10">
        <v>5.52</v>
      </c>
      <c r="E361" s="10">
        <v>10</v>
      </c>
      <c r="F361" s="10">
        <v>9</v>
      </c>
      <c r="G361" s="10">
        <v>6.5</v>
      </c>
      <c r="H361" s="10">
        <v>5</v>
      </c>
      <c r="I361" s="10">
        <v>5</v>
      </c>
      <c r="J361" s="10">
        <v>3.75</v>
      </c>
      <c r="K361" s="10">
        <v>5.25</v>
      </c>
      <c r="L361" s="10">
        <v>2.25</v>
      </c>
      <c r="M361" s="10">
        <v>1.75</v>
      </c>
      <c r="N361" s="10">
        <v>4.75</v>
      </c>
      <c r="O361" s="10">
        <v>5.25</v>
      </c>
      <c r="P361" s="10">
        <v>2.75</v>
      </c>
      <c r="Q361" s="10">
        <v>0.75</v>
      </c>
      <c r="R361" s="10">
        <v>1.25</v>
      </c>
      <c r="S361" s="10">
        <v>9</v>
      </c>
      <c r="T361" s="10">
        <v>6</v>
      </c>
      <c r="U361" s="10">
        <v>4</v>
      </c>
      <c r="V361" s="10">
        <v>3.25</v>
      </c>
      <c r="W361" s="10"/>
    </row>
    <row r="362" spans="2:23" s="9" customFormat="1" x14ac:dyDescent="0.2">
      <c r="B362" s="8" t="s">
        <v>418</v>
      </c>
      <c r="C362" s="10">
        <v>8.9700000000000006</v>
      </c>
      <c r="D362" s="10"/>
      <c r="E362" s="10">
        <v>10</v>
      </c>
      <c r="F362" s="10">
        <v>9</v>
      </c>
      <c r="G362" s="10">
        <v>6.5</v>
      </c>
      <c r="H362" s="10">
        <v>5</v>
      </c>
      <c r="I362" s="10">
        <v>5</v>
      </c>
      <c r="J362" s="10">
        <v>3.75</v>
      </c>
      <c r="K362" s="10">
        <v>5.25</v>
      </c>
      <c r="L362" s="10">
        <v>2.25</v>
      </c>
      <c r="M362" s="10">
        <v>1.75</v>
      </c>
      <c r="N362" s="10">
        <v>4.75</v>
      </c>
      <c r="O362" s="10">
        <v>5.25</v>
      </c>
      <c r="P362" s="10">
        <v>2.75</v>
      </c>
      <c r="Q362" s="10">
        <v>0.75</v>
      </c>
      <c r="R362" s="10">
        <v>1.25</v>
      </c>
      <c r="S362" s="10">
        <v>9</v>
      </c>
      <c r="T362" s="10">
        <v>6</v>
      </c>
      <c r="U362" s="10">
        <v>4</v>
      </c>
      <c r="V362" s="10">
        <v>3.25</v>
      </c>
      <c r="W362" s="10"/>
    </row>
    <row r="363" spans="2:23" s="9" customFormat="1" x14ac:dyDescent="0.2">
      <c r="B363" s="8" t="s">
        <v>419</v>
      </c>
      <c r="C363" s="10"/>
      <c r="D363" s="10"/>
      <c r="E363" s="10">
        <v>10</v>
      </c>
      <c r="F363" s="10">
        <v>9</v>
      </c>
      <c r="G363" s="10">
        <v>6.5</v>
      </c>
      <c r="H363" s="10">
        <v>5</v>
      </c>
      <c r="I363" s="10">
        <v>5</v>
      </c>
      <c r="J363" s="10">
        <v>3.75</v>
      </c>
      <c r="K363" s="10">
        <v>5.25</v>
      </c>
      <c r="L363" s="10">
        <v>2.25</v>
      </c>
      <c r="M363" s="10">
        <v>1.75</v>
      </c>
      <c r="N363" s="10">
        <v>4.75</v>
      </c>
      <c r="O363" s="10">
        <v>5.25</v>
      </c>
      <c r="P363" s="10">
        <v>2.75</v>
      </c>
      <c r="Q363" s="10">
        <v>0.75</v>
      </c>
      <c r="R363" s="10">
        <v>1.25</v>
      </c>
      <c r="S363" s="10">
        <v>9</v>
      </c>
      <c r="T363" s="10">
        <v>6</v>
      </c>
      <c r="U363" s="10">
        <v>4</v>
      </c>
      <c r="V363" s="10">
        <v>3.25</v>
      </c>
      <c r="W363" s="10"/>
    </row>
    <row r="364" spans="2:23" s="9" customFormat="1" x14ac:dyDescent="0.2">
      <c r="B364" s="8" t="s">
        <v>420</v>
      </c>
      <c r="C364" s="10"/>
      <c r="D364" s="10">
        <v>5.52</v>
      </c>
      <c r="E364" s="10">
        <v>10</v>
      </c>
      <c r="F364" s="10">
        <v>9</v>
      </c>
      <c r="G364" s="10">
        <v>6.5</v>
      </c>
      <c r="H364" s="10">
        <v>5</v>
      </c>
      <c r="I364" s="10">
        <v>5</v>
      </c>
      <c r="J364" s="10">
        <v>3.75</v>
      </c>
      <c r="K364" s="10">
        <v>5.25</v>
      </c>
      <c r="L364" s="10">
        <v>2.25</v>
      </c>
      <c r="M364" s="10">
        <v>1.75</v>
      </c>
      <c r="N364" s="10">
        <v>4.75</v>
      </c>
      <c r="O364" s="10">
        <v>5.25</v>
      </c>
      <c r="P364" s="10">
        <v>2.75</v>
      </c>
      <c r="Q364" s="10">
        <v>0.75</v>
      </c>
      <c r="R364" s="10">
        <v>1.25</v>
      </c>
      <c r="S364" s="10">
        <v>9</v>
      </c>
      <c r="T364" s="10">
        <v>6</v>
      </c>
      <c r="U364" s="10">
        <v>4</v>
      </c>
      <c r="V364" s="10">
        <v>3.25</v>
      </c>
      <c r="W364" s="10"/>
    </row>
    <row r="365" spans="2:23" s="9" customFormat="1" x14ac:dyDescent="0.2">
      <c r="B365" s="8" t="s">
        <v>421</v>
      </c>
      <c r="C365" s="10"/>
      <c r="D365" s="10"/>
      <c r="E365" s="10">
        <v>10</v>
      </c>
      <c r="F365" s="10">
        <v>9</v>
      </c>
      <c r="G365" s="10">
        <v>6.5</v>
      </c>
      <c r="H365" s="10">
        <v>5</v>
      </c>
      <c r="I365" s="10">
        <v>5</v>
      </c>
      <c r="J365" s="10">
        <v>3.75</v>
      </c>
      <c r="K365" s="10">
        <v>5.25</v>
      </c>
      <c r="L365" s="10">
        <v>2.25</v>
      </c>
      <c r="M365" s="10">
        <v>1.75</v>
      </c>
      <c r="N365" s="10">
        <v>4.75</v>
      </c>
      <c r="O365" s="10">
        <v>5.25</v>
      </c>
      <c r="P365" s="10">
        <v>2.75</v>
      </c>
      <c r="Q365" s="10">
        <v>0.75</v>
      </c>
      <c r="R365" s="10">
        <v>1.25</v>
      </c>
      <c r="S365" s="10">
        <v>9</v>
      </c>
      <c r="T365" s="10">
        <v>6</v>
      </c>
      <c r="U365" s="10">
        <v>4</v>
      </c>
      <c r="V365" s="10">
        <v>3.25</v>
      </c>
      <c r="W365" s="10"/>
    </row>
    <row r="366" spans="2:23" s="9" customFormat="1" x14ac:dyDescent="0.2">
      <c r="B366" s="8" t="s">
        <v>422</v>
      </c>
      <c r="C366" s="10">
        <v>8.9700000000000006</v>
      </c>
      <c r="D366" s="10">
        <v>5.52</v>
      </c>
      <c r="E366" s="10">
        <v>10</v>
      </c>
      <c r="F366" s="10">
        <v>9</v>
      </c>
      <c r="G366" s="10">
        <v>6.5</v>
      </c>
      <c r="H366" s="10">
        <v>5</v>
      </c>
      <c r="I366" s="10">
        <v>5</v>
      </c>
      <c r="J366" s="10">
        <v>3.75</v>
      </c>
      <c r="K366" s="10">
        <v>5.25</v>
      </c>
      <c r="L366" s="10">
        <v>2.25</v>
      </c>
      <c r="M366" s="10">
        <v>1.75</v>
      </c>
      <c r="N366" s="10">
        <v>4.75</v>
      </c>
      <c r="O366" s="10">
        <v>5.25</v>
      </c>
      <c r="P366" s="10">
        <v>2.75</v>
      </c>
      <c r="Q366" s="10">
        <v>0.75</v>
      </c>
      <c r="R366" s="10">
        <v>1.25</v>
      </c>
      <c r="S366" s="10">
        <v>9</v>
      </c>
      <c r="T366" s="10">
        <v>6</v>
      </c>
      <c r="U366" s="10">
        <v>4</v>
      </c>
      <c r="V366" s="10">
        <v>3.25</v>
      </c>
      <c r="W366" s="10"/>
    </row>
    <row r="367" spans="2:23" s="9" customFormat="1" x14ac:dyDescent="0.2">
      <c r="B367" s="8" t="s">
        <v>423</v>
      </c>
      <c r="C367" s="10">
        <v>8.9700000000000006</v>
      </c>
      <c r="D367" s="10">
        <v>5.52</v>
      </c>
      <c r="E367" s="10">
        <v>10</v>
      </c>
      <c r="F367" s="10">
        <v>9</v>
      </c>
      <c r="G367" s="10">
        <v>6.5</v>
      </c>
      <c r="H367" s="10">
        <v>5</v>
      </c>
      <c r="I367" s="10">
        <v>5</v>
      </c>
      <c r="J367" s="10">
        <v>3.75</v>
      </c>
      <c r="K367" s="10">
        <v>5.25</v>
      </c>
      <c r="L367" s="10">
        <v>2.25</v>
      </c>
      <c r="M367" s="10">
        <v>1.75</v>
      </c>
      <c r="N367" s="10">
        <v>4.75</v>
      </c>
      <c r="O367" s="10">
        <v>5.25</v>
      </c>
      <c r="P367" s="10">
        <v>2.75</v>
      </c>
      <c r="Q367" s="10">
        <v>0.75</v>
      </c>
      <c r="R367" s="10">
        <v>1.25</v>
      </c>
      <c r="S367" s="10">
        <v>9</v>
      </c>
      <c r="T367" s="10">
        <v>6</v>
      </c>
      <c r="U367" s="10">
        <v>4</v>
      </c>
      <c r="V367" s="10">
        <v>3.25</v>
      </c>
      <c r="W367" s="10"/>
    </row>
    <row r="368" spans="2:23" s="9" customFormat="1" x14ac:dyDescent="0.2">
      <c r="B368" s="8" t="s">
        <v>424</v>
      </c>
      <c r="C368" s="10">
        <v>8.9700000000000006</v>
      </c>
      <c r="D368" s="10">
        <v>5.52</v>
      </c>
      <c r="E368" s="10">
        <v>10</v>
      </c>
      <c r="F368" s="10">
        <v>9</v>
      </c>
      <c r="G368" s="10">
        <v>6.5</v>
      </c>
      <c r="H368" s="10">
        <v>5</v>
      </c>
      <c r="I368" s="10">
        <v>5</v>
      </c>
      <c r="J368" s="10">
        <v>3.75</v>
      </c>
      <c r="K368" s="10">
        <v>5.25</v>
      </c>
      <c r="L368" s="10">
        <v>2.25</v>
      </c>
      <c r="M368" s="10">
        <v>1.75</v>
      </c>
      <c r="N368" s="10">
        <v>4.75</v>
      </c>
      <c r="O368" s="10">
        <v>5.25</v>
      </c>
      <c r="P368" s="10">
        <v>2.75</v>
      </c>
      <c r="Q368" s="10">
        <v>0.75</v>
      </c>
      <c r="R368" s="10">
        <v>1.25</v>
      </c>
      <c r="S368" s="10">
        <v>9</v>
      </c>
      <c r="T368" s="10">
        <v>6</v>
      </c>
      <c r="U368" s="10">
        <v>4</v>
      </c>
      <c r="V368" s="10">
        <v>3.25</v>
      </c>
      <c r="W368" s="10"/>
    </row>
    <row r="369" spans="2:23" s="9" customFormat="1" x14ac:dyDescent="0.2">
      <c r="B369" s="8" t="s">
        <v>425</v>
      </c>
      <c r="C369" s="10">
        <v>8.9700000000000006</v>
      </c>
      <c r="D369" s="10"/>
      <c r="E369" s="10">
        <v>10</v>
      </c>
      <c r="F369" s="10">
        <v>9</v>
      </c>
      <c r="G369" s="10">
        <v>6.5</v>
      </c>
      <c r="H369" s="10">
        <v>5</v>
      </c>
      <c r="I369" s="10">
        <v>5</v>
      </c>
      <c r="J369" s="10">
        <v>3.75</v>
      </c>
      <c r="K369" s="10">
        <v>5.25</v>
      </c>
      <c r="L369" s="10">
        <v>2.25</v>
      </c>
      <c r="M369" s="10">
        <v>1.75</v>
      </c>
      <c r="N369" s="10">
        <v>4.75</v>
      </c>
      <c r="O369" s="10">
        <v>5.25</v>
      </c>
      <c r="P369" s="10">
        <v>2.75</v>
      </c>
      <c r="Q369" s="10">
        <v>0.75</v>
      </c>
      <c r="R369" s="10">
        <v>1.25</v>
      </c>
      <c r="S369" s="10">
        <v>9</v>
      </c>
      <c r="T369" s="10">
        <v>6</v>
      </c>
      <c r="U369" s="10">
        <v>4</v>
      </c>
      <c r="V369" s="10">
        <v>3.25</v>
      </c>
      <c r="W369" s="10"/>
    </row>
    <row r="370" spans="2:23" s="9" customFormat="1" x14ac:dyDescent="0.2">
      <c r="B370" s="8" t="s">
        <v>426</v>
      </c>
      <c r="C370" s="10"/>
      <c r="D370" s="10"/>
      <c r="E370" s="10">
        <v>10</v>
      </c>
      <c r="F370" s="10">
        <v>9</v>
      </c>
      <c r="G370" s="10">
        <v>6.5</v>
      </c>
      <c r="H370" s="10">
        <v>5</v>
      </c>
      <c r="I370" s="10">
        <v>5</v>
      </c>
      <c r="J370" s="10">
        <v>3.75</v>
      </c>
      <c r="K370" s="10">
        <v>5.25</v>
      </c>
      <c r="L370" s="10">
        <v>2.25</v>
      </c>
      <c r="M370" s="10">
        <v>1.75</v>
      </c>
      <c r="N370" s="10">
        <v>4.75</v>
      </c>
      <c r="O370" s="10">
        <v>5.25</v>
      </c>
      <c r="P370" s="10">
        <v>2.75</v>
      </c>
      <c r="Q370" s="10">
        <v>0.75</v>
      </c>
      <c r="R370" s="10">
        <v>1.25</v>
      </c>
      <c r="S370" s="10">
        <v>9</v>
      </c>
      <c r="T370" s="10">
        <v>6</v>
      </c>
      <c r="U370" s="10">
        <v>4</v>
      </c>
      <c r="V370" s="10">
        <v>3.25</v>
      </c>
      <c r="W370" s="10"/>
    </row>
    <row r="371" spans="2:23" x14ac:dyDescent="0.2">
      <c r="B371" s="21" t="s">
        <v>427</v>
      </c>
      <c r="C371" s="12"/>
      <c r="D371" s="12"/>
      <c r="E371" s="12">
        <v>10</v>
      </c>
      <c r="F371" s="12">
        <v>9</v>
      </c>
      <c r="G371" s="12">
        <v>6.5</v>
      </c>
      <c r="H371" s="12">
        <v>5</v>
      </c>
      <c r="I371" s="12">
        <v>5</v>
      </c>
      <c r="J371" s="12">
        <v>3.75</v>
      </c>
      <c r="K371" s="12">
        <v>5.25</v>
      </c>
      <c r="L371" s="12">
        <v>2.25</v>
      </c>
      <c r="M371" s="12">
        <v>1.75</v>
      </c>
      <c r="N371" s="12">
        <v>4.75</v>
      </c>
      <c r="O371" s="12">
        <v>5.25</v>
      </c>
      <c r="P371" s="12">
        <v>2.75</v>
      </c>
      <c r="Q371" s="12">
        <v>0.75</v>
      </c>
      <c r="R371" s="12">
        <v>1.25</v>
      </c>
      <c r="S371" s="12">
        <v>9</v>
      </c>
      <c r="T371" s="12">
        <v>6</v>
      </c>
      <c r="U371" s="22">
        <v>4</v>
      </c>
      <c r="V371" s="22">
        <v>3.25</v>
      </c>
      <c r="W371" s="23"/>
    </row>
    <row r="372" spans="2:23" x14ac:dyDescent="0.2">
      <c r="B372" s="24"/>
      <c r="U372" s="24"/>
      <c r="V372" s="24"/>
      <c r="W372" s="24"/>
    </row>
  </sheetData>
  <autoFilter ref="B5:W371" xr:uid="{C1F84D92-9941-4DC7-80E6-3824172003EF}"/>
  <pageMargins left="0.79" right="0.79" top="0.98" bottom="0.98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5AF1-7084-40EC-90DA-E4E5F0B536DC}">
  <dimension ref="A1:K785"/>
  <sheetViews>
    <sheetView workbookViewId="0"/>
  </sheetViews>
  <sheetFormatPr defaultRowHeight="15" x14ac:dyDescent="0.25"/>
  <cols>
    <col min="1" max="1" width="2" style="2" customWidth="1"/>
    <col min="2" max="2" width="11" style="15" customWidth="1"/>
    <col min="3" max="3" width="17.5703125" style="15" customWidth="1"/>
    <col min="4" max="5" width="9.140625" style="15" customWidth="1"/>
    <col min="6" max="6" width="27.7109375" style="15" bestFit="1" customWidth="1"/>
    <col min="7" max="7" width="17" style="15" bestFit="1" customWidth="1"/>
    <col min="8" max="10" width="14.28515625" style="15" bestFit="1" customWidth="1"/>
    <col min="11" max="786" width="12.5703125" style="15" bestFit="1" customWidth="1"/>
    <col min="787" max="787" width="16.28515625" style="15" bestFit="1" customWidth="1"/>
    <col min="788" max="16384" width="9.140625" style="15"/>
  </cols>
  <sheetData>
    <row r="1" spans="1:11" ht="15.75" x14ac:dyDescent="0.25">
      <c r="B1" s="7" t="s">
        <v>428</v>
      </c>
      <c r="C1" s="17"/>
      <c r="D1" s="17"/>
      <c r="E1" s="17"/>
      <c r="F1" s="17"/>
    </row>
    <row r="2" spans="1:11" ht="15.75" x14ac:dyDescent="0.25">
      <c r="B2" s="7" t="s">
        <v>429</v>
      </c>
    </row>
    <row r="5" spans="1:11" s="1" customFormat="1" x14ac:dyDescent="0.25">
      <c r="A5" s="2"/>
      <c r="B5" s="25" t="s">
        <v>2</v>
      </c>
      <c r="C5" s="25" t="s">
        <v>430</v>
      </c>
      <c r="D5" s="15"/>
      <c r="E5" s="15"/>
      <c r="F5" s="28" t="s">
        <v>431</v>
      </c>
      <c r="G5" s="28" t="s">
        <v>445</v>
      </c>
      <c r="H5" s="29"/>
      <c r="I5" s="29"/>
      <c r="J5" s="29"/>
    </row>
    <row r="6" spans="1:11" s="1" customFormat="1" x14ac:dyDescent="0.25">
      <c r="A6" s="2"/>
      <c r="B6" s="26">
        <v>45292</v>
      </c>
      <c r="C6" s="27">
        <v>526.88</v>
      </c>
      <c r="D6" s="15"/>
      <c r="E6" s="15"/>
      <c r="F6" s="28" t="s">
        <v>446</v>
      </c>
      <c r="G6" s="29" t="s">
        <v>59</v>
      </c>
      <c r="H6" s="29" t="s">
        <v>60</v>
      </c>
      <c r="I6" s="29" t="s">
        <v>61</v>
      </c>
      <c r="J6" s="29" t="s">
        <v>433</v>
      </c>
    </row>
    <row r="7" spans="1:11" s="1" customFormat="1" x14ac:dyDescent="0.25">
      <c r="A7" s="2"/>
      <c r="B7" s="26">
        <v>45293</v>
      </c>
      <c r="C7" s="27">
        <v>526.88</v>
      </c>
      <c r="D7" s="15"/>
      <c r="E7" s="15"/>
      <c r="F7" s="30" t="s">
        <v>432</v>
      </c>
      <c r="G7" s="31">
        <v>521.515806451613</v>
      </c>
      <c r="H7" s="31">
        <v>508.67451612903233</v>
      </c>
      <c r="I7" s="31">
        <v>497.94419354838703</v>
      </c>
      <c r="J7" s="31">
        <v>509.37817204301081</v>
      </c>
    </row>
    <row r="8" spans="1:11" s="1" customFormat="1" x14ac:dyDescent="0.25">
      <c r="A8" s="2"/>
      <c r="B8" s="26">
        <v>45294</v>
      </c>
      <c r="C8" s="27">
        <v>525.67999999999995</v>
      </c>
      <c r="D8" s="15"/>
      <c r="E8" s="15"/>
      <c r="F8" s="30" t="s">
        <v>434</v>
      </c>
      <c r="G8" s="31">
        <v>519.45862068965516</v>
      </c>
      <c r="H8" s="31">
        <v>509.92357142857151</v>
      </c>
      <c r="I8" s="31">
        <v>492.85444444444448</v>
      </c>
      <c r="J8" s="31">
        <v>509.51386666666667</v>
      </c>
    </row>
    <row r="9" spans="1:11" s="1" customFormat="1" x14ac:dyDescent="0.25">
      <c r="A9" s="2"/>
      <c r="B9" s="26">
        <v>45295</v>
      </c>
      <c r="C9" s="27">
        <v>524.65</v>
      </c>
      <c r="D9" s="15"/>
      <c r="E9" s="15"/>
      <c r="F9" s="30" t="s">
        <v>435</v>
      </c>
      <c r="G9" s="31">
        <v>510.02129032258063</v>
      </c>
      <c r="H9" s="31">
        <v>504.40354838709675</v>
      </c>
      <c r="I9" s="31"/>
      <c r="J9" s="31">
        <v>507.21241935483857</v>
      </c>
    </row>
    <row r="10" spans="1:11" s="1" customFormat="1" x14ac:dyDescent="0.25">
      <c r="A10" s="2"/>
      <c r="B10" s="26">
        <v>45296</v>
      </c>
      <c r="C10" s="27">
        <v>523.83000000000004</v>
      </c>
      <c r="D10" s="15"/>
      <c r="E10" s="15"/>
      <c r="F10" s="30" t="s">
        <v>436</v>
      </c>
      <c r="G10" s="31">
        <v>504.98100000000005</v>
      </c>
      <c r="H10" s="31">
        <v>508.35533333333314</v>
      </c>
      <c r="I10" s="31"/>
      <c r="J10" s="31">
        <v>506.66816666666654</v>
      </c>
    </row>
    <row r="11" spans="1:11" s="1" customFormat="1" x14ac:dyDescent="0.25">
      <c r="A11" s="2"/>
      <c r="B11" s="26">
        <v>45297</v>
      </c>
      <c r="C11" s="27">
        <v>524.73</v>
      </c>
      <c r="D11" s="15"/>
      <c r="E11" s="15"/>
      <c r="F11" s="30" t="s">
        <v>437</v>
      </c>
      <c r="G11" s="31">
        <v>515.43741935483854</v>
      </c>
      <c r="H11" s="31">
        <v>509.32806451612896</v>
      </c>
      <c r="I11" s="31"/>
      <c r="J11" s="31">
        <v>512.38274193548364</v>
      </c>
    </row>
    <row r="12" spans="1:11" s="1" customFormat="1" x14ac:dyDescent="0.25">
      <c r="A12" s="2"/>
      <c r="B12" s="26">
        <v>45298</v>
      </c>
      <c r="C12" s="27">
        <v>524.73</v>
      </c>
      <c r="D12" s="15"/>
      <c r="E12" s="15"/>
      <c r="F12" s="30" t="s">
        <v>438</v>
      </c>
      <c r="G12" s="31">
        <v>528.99299999999994</v>
      </c>
      <c r="H12" s="31">
        <v>508.6363333333336</v>
      </c>
      <c r="I12" s="31"/>
      <c r="J12" s="31">
        <v>518.81466666666654</v>
      </c>
    </row>
    <row r="13" spans="1:11" x14ac:dyDescent="0.25">
      <c r="B13" s="26">
        <v>45299</v>
      </c>
      <c r="C13" s="27">
        <v>524.73</v>
      </c>
      <c r="F13" s="30" t="s">
        <v>439</v>
      </c>
      <c r="G13" s="31">
        <v>529.24774193548376</v>
      </c>
      <c r="H13" s="31">
        <v>507.23483870967749</v>
      </c>
      <c r="I13" s="31"/>
      <c r="J13" s="31">
        <v>518.24129032258065</v>
      </c>
      <c r="K13" s="1"/>
    </row>
    <row r="14" spans="1:11" x14ac:dyDescent="0.25">
      <c r="B14" s="26">
        <v>45300</v>
      </c>
      <c r="C14" s="27">
        <v>525.27</v>
      </c>
      <c r="F14" s="30" t="s">
        <v>440</v>
      </c>
      <c r="G14" s="31">
        <v>525.70354838709659</v>
      </c>
      <c r="H14" s="31">
        <v>507.73548387096753</v>
      </c>
      <c r="I14" s="31"/>
      <c r="J14" s="31">
        <v>516.71951612903217</v>
      </c>
      <c r="K14" s="1"/>
    </row>
    <row r="15" spans="1:11" x14ac:dyDescent="0.25">
      <c r="B15" s="26">
        <v>45301</v>
      </c>
      <c r="C15" s="27">
        <v>524.94000000000005</v>
      </c>
      <c r="F15" s="30" t="s">
        <v>441</v>
      </c>
      <c r="G15" s="31">
        <v>522.01900000000012</v>
      </c>
      <c r="H15" s="31">
        <v>507.5066666666666</v>
      </c>
      <c r="I15" s="31"/>
      <c r="J15" s="31">
        <v>514.76283333333333</v>
      </c>
      <c r="K15" s="1"/>
    </row>
    <row r="16" spans="1:11" x14ac:dyDescent="0.25">
      <c r="B16" s="26">
        <v>45302</v>
      </c>
      <c r="C16" s="27">
        <v>524.97</v>
      </c>
      <c r="F16" s="30" t="s">
        <v>442</v>
      </c>
      <c r="G16" s="31">
        <v>518.64903225806449</v>
      </c>
      <c r="H16" s="31">
        <v>506.00193548387097</v>
      </c>
      <c r="I16" s="31"/>
      <c r="J16" s="31">
        <v>512.32548387096779</v>
      </c>
      <c r="K16" s="1"/>
    </row>
    <row r="17" spans="2:11" x14ac:dyDescent="0.25">
      <c r="B17" s="26">
        <v>45303</v>
      </c>
      <c r="C17" s="27">
        <v>523.15</v>
      </c>
      <c r="F17" s="30" t="s">
        <v>443</v>
      </c>
      <c r="G17" s="31">
        <v>513.60800000000017</v>
      </c>
      <c r="H17" s="31">
        <v>502.40999999999997</v>
      </c>
      <c r="I17" s="31"/>
      <c r="J17" s="31">
        <v>508.00900000000001</v>
      </c>
      <c r="K17" s="1"/>
    </row>
    <row r="18" spans="2:11" x14ac:dyDescent="0.25">
      <c r="B18" s="26">
        <v>45304</v>
      </c>
      <c r="C18" s="27">
        <v>523.29999999999995</v>
      </c>
      <c r="F18" s="30" t="s">
        <v>444</v>
      </c>
      <c r="G18" s="31">
        <v>509.13709677419348</v>
      </c>
      <c r="H18" s="31">
        <v>497.75967741935489</v>
      </c>
      <c r="I18" s="31"/>
      <c r="J18" s="31">
        <v>503.44838709677413</v>
      </c>
      <c r="K18" s="1"/>
    </row>
    <row r="19" spans="2:11" x14ac:dyDescent="0.25">
      <c r="B19" s="26">
        <v>45305</v>
      </c>
      <c r="C19" s="27">
        <v>523.29999999999995</v>
      </c>
      <c r="F19" s="30" t="s">
        <v>433</v>
      </c>
      <c r="G19" s="31">
        <v>518.23333333333312</v>
      </c>
      <c r="H19" s="31">
        <v>506.4668219178082</v>
      </c>
      <c r="I19" s="31">
        <v>496.07448979591834</v>
      </c>
      <c r="J19" s="31">
        <v>511.3351794871794</v>
      </c>
      <c r="K19" s="1"/>
    </row>
    <row r="20" spans="2:11" x14ac:dyDescent="0.25">
      <c r="B20" s="26">
        <v>45306</v>
      </c>
      <c r="C20" s="27">
        <v>523.29999999999995</v>
      </c>
      <c r="I20" s="1"/>
    </row>
    <row r="21" spans="2:11" x14ac:dyDescent="0.25">
      <c r="B21" s="26">
        <v>45307</v>
      </c>
      <c r="C21" s="27">
        <v>521.13</v>
      </c>
      <c r="I21" s="1"/>
    </row>
    <row r="22" spans="2:11" x14ac:dyDescent="0.25">
      <c r="B22" s="26">
        <v>45308</v>
      </c>
      <c r="C22" s="27">
        <v>519.39</v>
      </c>
      <c r="I22" s="1"/>
    </row>
    <row r="23" spans="2:11" x14ac:dyDescent="0.25">
      <c r="B23" s="26">
        <v>45309</v>
      </c>
      <c r="C23" s="27">
        <v>520.16</v>
      </c>
    </row>
    <row r="24" spans="2:11" x14ac:dyDescent="0.25">
      <c r="B24" s="26">
        <v>45310</v>
      </c>
      <c r="C24" s="27">
        <v>519.23</v>
      </c>
    </row>
    <row r="25" spans="2:11" x14ac:dyDescent="0.25">
      <c r="B25" s="26">
        <v>45311</v>
      </c>
      <c r="C25" s="27">
        <v>519.36</v>
      </c>
    </row>
    <row r="26" spans="2:11" x14ac:dyDescent="0.25">
      <c r="B26" s="26">
        <v>45312</v>
      </c>
      <c r="C26" s="27">
        <v>519.36</v>
      </c>
    </row>
    <row r="27" spans="2:11" x14ac:dyDescent="0.25">
      <c r="B27" s="26">
        <v>45313</v>
      </c>
      <c r="C27" s="27">
        <v>519.36</v>
      </c>
    </row>
    <row r="28" spans="2:11" x14ac:dyDescent="0.25">
      <c r="B28" s="26">
        <v>45314</v>
      </c>
      <c r="C28" s="27">
        <v>518.32000000000005</v>
      </c>
      <c r="F28" s="16"/>
    </row>
    <row r="29" spans="2:11" x14ac:dyDescent="0.25">
      <c r="B29" s="26">
        <v>45315</v>
      </c>
      <c r="C29" s="27">
        <v>517.72</v>
      </c>
    </row>
    <row r="30" spans="2:11" x14ac:dyDescent="0.25">
      <c r="B30" s="26">
        <v>45316</v>
      </c>
      <c r="C30" s="27">
        <v>517.5</v>
      </c>
    </row>
    <row r="31" spans="2:11" x14ac:dyDescent="0.25">
      <c r="B31" s="26">
        <v>45317</v>
      </c>
      <c r="C31" s="27">
        <v>517.07000000000005</v>
      </c>
    </row>
    <row r="32" spans="2:11" x14ac:dyDescent="0.25">
      <c r="B32" s="26">
        <v>45318</v>
      </c>
      <c r="C32" s="27">
        <v>516.86</v>
      </c>
    </row>
    <row r="33" spans="2:3" x14ac:dyDescent="0.25">
      <c r="B33" s="26">
        <v>45319</v>
      </c>
      <c r="C33" s="27">
        <v>516.86</v>
      </c>
    </row>
    <row r="34" spans="2:3" x14ac:dyDescent="0.25">
      <c r="B34" s="26">
        <v>45320</v>
      </c>
      <c r="C34" s="27">
        <v>516.86</v>
      </c>
    </row>
    <row r="35" spans="2:3" x14ac:dyDescent="0.25">
      <c r="B35" s="26">
        <v>45321</v>
      </c>
      <c r="C35" s="27">
        <v>517.67999999999995</v>
      </c>
    </row>
    <row r="36" spans="2:3" x14ac:dyDescent="0.25">
      <c r="B36" s="26">
        <v>45322</v>
      </c>
      <c r="C36" s="27">
        <v>519.79</v>
      </c>
    </row>
    <row r="37" spans="2:3" x14ac:dyDescent="0.25">
      <c r="B37" s="26">
        <v>45323</v>
      </c>
      <c r="C37" s="27">
        <v>520.78</v>
      </c>
    </row>
    <row r="38" spans="2:3" x14ac:dyDescent="0.25">
      <c r="B38" s="26">
        <v>45324</v>
      </c>
      <c r="C38" s="27">
        <v>520.20000000000005</v>
      </c>
    </row>
    <row r="39" spans="2:3" x14ac:dyDescent="0.25">
      <c r="B39" s="26">
        <v>45325</v>
      </c>
      <c r="C39" s="27">
        <v>520.89</v>
      </c>
    </row>
    <row r="40" spans="2:3" x14ac:dyDescent="0.25">
      <c r="B40" s="26">
        <v>45326</v>
      </c>
      <c r="C40" s="27">
        <v>520.89</v>
      </c>
    </row>
    <row r="41" spans="2:3" x14ac:dyDescent="0.25">
      <c r="B41" s="26">
        <v>45327</v>
      </c>
      <c r="C41" s="27">
        <v>520.89</v>
      </c>
    </row>
    <row r="42" spans="2:3" x14ac:dyDescent="0.25">
      <c r="B42" s="26">
        <v>45328</v>
      </c>
      <c r="C42" s="27">
        <v>521.79</v>
      </c>
    </row>
    <row r="43" spans="2:3" x14ac:dyDescent="0.25">
      <c r="B43" s="26">
        <v>45329</v>
      </c>
      <c r="C43" s="27">
        <v>521.74</v>
      </c>
    </row>
    <row r="44" spans="2:3" x14ac:dyDescent="0.25">
      <c r="B44" s="26">
        <v>45330</v>
      </c>
      <c r="C44" s="27">
        <v>520.82000000000005</v>
      </c>
    </row>
    <row r="45" spans="2:3" x14ac:dyDescent="0.25">
      <c r="B45" s="26">
        <v>45331</v>
      </c>
      <c r="C45" s="27">
        <v>521.14</v>
      </c>
    </row>
    <row r="46" spans="2:3" x14ac:dyDescent="0.25">
      <c r="B46" s="26">
        <v>45332</v>
      </c>
      <c r="C46" s="27">
        <v>521.38</v>
      </c>
    </row>
    <row r="47" spans="2:3" x14ac:dyDescent="0.25">
      <c r="B47" s="26">
        <v>45333</v>
      </c>
      <c r="C47" s="27">
        <v>521.38</v>
      </c>
    </row>
    <row r="48" spans="2:3" x14ac:dyDescent="0.25">
      <c r="B48" s="26">
        <v>45334</v>
      </c>
      <c r="C48" s="27">
        <v>521.38</v>
      </c>
    </row>
    <row r="49" spans="2:3" x14ac:dyDescent="0.25">
      <c r="B49" s="26">
        <v>45335</v>
      </c>
      <c r="C49" s="27">
        <v>520.67999999999995</v>
      </c>
    </row>
    <row r="50" spans="2:3" x14ac:dyDescent="0.25">
      <c r="B50" s="26">
        <v>45336</v>
      </c>
      <c r="C50" s="27">
        <v>520.45000000000005</v>
      </c>
    </row>
    <row r="51" spans="2:3" x14ac:dyDescent="0.25">
      <c r="B51" s="26">
        <v>45337</v>
      </c>
      <c r="C51" s="27">
        <v>520.80999999999995</v>
      </c>
    </row>
    <row r="52" spans="2:3" x14ac:dyDescent="0.25">
      <c r="B52" s="26">
        <v>45338</v>
      </c>
      <c r="C52" s="27">
        <v>519.51</v>
      </c>
    </row>
    <row r="53" spans="2:3" x14ac:dyDescent="0.25">
      <c r="B53" s="26">
        <v>45339</v>
      </c>
      <c r="C53" s="27">
        <v>518.28</v>
      </c>
    </row>
    <row r="54" spans="2:3" x14ac:dyDescent="0.25">
      <c r="B54" s="26">
        <v>45340</v>
      </c>
      <c r="C54" s="27">
        <v>518.28</v>
      </c>
    </row>
    <row r="55" spans="2:3" x14ac:dyDescent="0.25">
      <c r="B55" s="26">
        <v>45341</v>
      </c>
      <c r="C55" s="27">
        <v>518.28</v>
      </c>
    </row>
    <row r="56" spans="2:3" x14ac:dyDescent="0.25">
      <c r="B56" s="26">
        <v>45342</v>
      </c>
      <c r="C56" s="27">
        <v>517.41</v>
      </c>
    </row>
    <row r="57" spans="2:3" x14ac:dyDescent="0.25">
      <c r="B57" s="26">
        <v>45343</v>
      </c>
      <c r="C57" s="27">
        <v>516.82000000000005</v>
      </c>
    </row>
    <row r="58" spans="2:3" x14ac:dyDescent="0.25">
      <c r="B58" s="26">
        <v>45344</v>
      </c>
      <c r="C58" s="27">
        <v>517.73</v>
      </c>
    </row>
    <row r="59" spans="2:3" x14ac:dyDescent="0.25">
      <c r="B59" s="26">
        <v>45345</v>
      </c>
      <c r="C59" s="27">
        <v>517.48</v>
      </c>
    </row>
    <row r="60" spans="2:3" x14ac:dyDescent="0.25">
      <c r="B60" s="26">
        <v>45346</v>
      </c>
      <c r="C60" s="27">
        <v>517.96</v>
      </c>
    </row>
    <row r="61" spans="2:3" x14ac:dyDescent="0.25">
      <c r="B61" s="26">
        <v>45347</v>
      </c>
      <c r="C61" s="27">
        <v>517.96</v>
      </c>
    </row>
    <row r="62" spans="2:3" x14ac:dyDescent="0.25">
      <c r="B62" s="26">
        <v>45348</v>
      </c>
      <c r="C62" s="27">
        <v>517.96</v>
      </c>
    </row>
    <row r="63" spans="2:3" x14ac:dyDescent="0.25">
      <c r="B63" s="26">
        <v>45349</v>
      </c>
      <c r="C63" s="27">
        <v>517.92999999999995</v>
      </c>
    </row>
    <row r="64" spans="2:3" x14ac:dyDescent="0.25">
      <c r="B64" s="26">
        <v>45350</v>
      </c>
      <c r="C64" s="27">
        <v>517.14</v>
      </c>
    </row>
    <row r="65" spans="2:3" x14ac:dyDescent="0.25">
      <c r="B65" s="26">
        <v>45351</v>
      </c>
      <c r="C65" s="27">
        <v>516.34</v>
      </c>
    </row>
    <row r="66" spans="2:3" x14ac:dyDescent="0.25">
      <c r="B66" s="26">
        <v>45352</v>
      </c>
      <c r="C66" s="27">
        <v>517.49</v>
      </c>
    </row>
    <row r="67" spans="2:3" x14ac:dyDescent="0.25">
      <c r="B67" s="26">
        <v>45353</v>
      </c>
      <c r="C67" s="27">
        <v>518.15</v>
      </c>
    </row>
    <row r="68" spans="2:3" x14ac:dyDescent="0.25">
      <c r="B68" s="26">
        <v>45354</v>
      </c>
      <c r="C68" s="27">
        <v>518.15</v>
      </c>
    </row>
    <row r="69" spans="2:3" x14ac:dyDescent="0.25">
      <c r="B69" s="26">
        <v>45355</v>
      </c>
      <c r="C69" s="27">
        <v>518.15</v>
      </c>
    </row>
    <row r="70" spans="2:3" x14ac:dyDescent="0.25">
      <c r="B70" s="26">
        <v>45356</v>
      </c>
      <c r="C70" s="27">
        <v>515.95000000000005</v>
      </c>
    </row>
    <row r="71" spans="2:3" x14ac:dyDescent="0.25">
      <c r="B71" s="26">
        <v>45357</v>
      </c>
      <c r="C71" s="27">
        <v>515.07000000000005</v>
      </c>
    </row>
    <row r="72" spans="2:3" x14ac:dyDescent="0.25">
      <c r="B72" s="26">
        <v>45358</v>
      </c>
      <c r="C72" s="27">
        <v>513.76</v>
      </c>
    </row>
    <row r="73" spans="2:3" x14ac:dyDescent="0.25">
      <c r="B73" s="26">
        <v>45359</v>
      </c>
      <c r="C73" s="27">
        <v>512.99</v>
      </c>
    </row>
    <row r="74" spans="2:3" x14ac:dyDescent="0.25">
      <c r="B74" s="26">
        <v>45360</v>
      </c>
      <c r="C74" s="27">
        <v>512.51</v>
      </c>
    </row>
    <row r="75" spans="2:3" x14ac:dyDescent="0.25">
      <c r="B75" s="26">
        <v>45361</v>
      </c>
      <c r="C75" s="27">
        <v>512.51</v>
      </c>
    </row>
    <row r="76" spans="2:3" x14ac:dyDescent="0.25">
      <c r="B76" s="26">
        <v>45362</v>
      </c>
      <c r="C76" s="27">
        <v>512.51</v>
      </c>
    </row>
    <row r="77" spans="2:3" x14ac:dyDescent="0.25">
      <c r="B77" s="26">
        <v>45363</v>
      </c>
      <c r="C77" s="27">
        <v>511.45</v>
      </c>
    </row>
    <row r="78" spans="2:3" x14ac:dyDescent="0.25">
      <c r="B78" s="26">
        <v>45364</v>
      </c>
      <c r="C78" s="27">
        <v>510.75</v>
      </c>
    </row>
    <row r="79" spans="2:3" x14ac:dyDescent="0.25">
      <c r="B79" s="26">
        <v>45365</v>
      </c>
      <c r="C79" s="27">
        <v>509.98</v>
      </c>
    </row>
    <row r="80" spans="2:3" x14ac:dyDescent="0.25">
      <c r="B80" s="26">
        <v>45366</v>
      </c>
      <c r="C80" s="27">
        <v>509.43</v>
      </c>
    </row>
    <row r="81" spans="2:3" x14ac:dyDescent="0.25">
      <c r="B81" s="26">
        <v>45367</v>
      </c>
      <c r="C81" s="27">
        <v>507.89</v>
      </c>
    </row>
    <row r="82" spans="2:3" x14ac:dyDescent="0.25">
      <c r="B82" s="26">
        <v>45368</v>
      </c>
      <c r="C82" s="27">
        <v>507.89</v>
      </c>
    </row>
    <row r="83" spans="2:3" x14ac:dyDescent="0.25">
      <c r="B83" s="26">
        <v>45369</v>
      </c>
      <c r="C83" s="27">
        <v>507.89</v>
      </c>
    </row>
    <row r="84" spans="2:3" x14ac:dyDescent="0.25">
      <c r="B84" s="26">
        <v>45370</v>
      </c>
      <c r="C84" s="27">
        <v>505.8</v>
      </c>
    </row>
    <row r="85" spans="2:3" x14ac:dyDescent="0.25">
      <c r="B85" s="26">
        <v>45371</v>
      </c>
      <c r="C85" s="27">
        <v>505.74</v>
      </c>
    </row>
    <row r="86" spans="2:3" x14ac:dyDescent="0.25">
      <c r="B86" s="26">
        <v>45372</v>
      </c>
      <c r="C86" s="27">
        <v>505.84</v>
      </c>
    </row>
    <row r="87" spans="2:3" x14ac:dyDescent="0.25">
      <c r="B87" s="26">
        <v>45373</v>
      </c>
      <c r="C87" s="27">
        <v>505.97</v>
      </c>
    </row>
    <row r="88" spans="2:3" x14ac:dyDescent="0.25">
      <c r="B88" s="26">
        <v>45374</v>
      </c>
      <c r="C88" s="27">
        <v>505.68</v>
      </c>
    </row>
    <row r="89" spans="2:3" x14ac:dyDescent="0.25">
      <c r="B89" s="26">
        <v>45375</v>
      </c>
      <c r="C89" s="27">
        <v>505.68</v>
      </c>
    </row>
    <row r="90" spans="2:3" x14ac:dyDescent="0.25">
      <c r="B90" s="26">
        <v>45376</v>
      </c>
      <c r="C90" s="27">
        <v>505.68</v>
      </c>
    </row>
    <row r="91" spans="2:3" x14ac:dyDescent="0.25">
      <c r="B91" s="26">
        <v>45377</v>
      </c>
      <c r="C91" s="27">
        <v>505.36</v>
      </c>
    </row>
    <row r="92" spans="2:3" x14ac:dyDescent="0.25">
      <c r="B92" s="26">
        <v>45378</v>
      </c>
      <c r="C92" s="27">
        <v>505.99</v>
      </c>
    </row>
    <row r="93" spans="2:3" x14ac:dyDescent="0.25">
      <c r="B93" s="26">
        <v>45379</v>
      </c>
      <c r="C93" s="27">
        <v>506.6</v>
      </c>
    </row>
    <row r="94" spans="2:3" x14ac:dyDescent="0.25">
      <c r="B94" s="26">
        <v>45380</v>
      </c>
      <c r="C94" s="27">
        <v>506.6</v>
      </c>
    </row>
    <row r="95" spans="2:3" x14ac:dyDescent="0.25">
      <c r="B95" s="26">
        <v>45381</v>
      </c>
      <c r="C95" s="27">
        <v>506.6</v>
      </c>
    </row>
    <row r="96" spans="2:3" x14ac:dyDescent="0.25">
      <c r="B96" s="26">
        <v>45382</v>
      </c>
      <c r="C96" s="27">
        <v>506.6</v>
      </c>
    </row>
    <row r="97" spans="2:3" x14ac:dyDescent="0.25">
      <c r="B97" s="26">
        <v>45383</v>
      </c>
      <c r="C97" s="27">
        <v>506.6</v>
      </c>
    </row>
    <row r="98" spans="2:3" x14ac:dyDescent="0.25">
      <c r="B98" s="26">
        <v>45384</v>
      </c>
      <c r="C98" s="27">
        <v>505.73</v>
      </c>
    </row>
    <row r="99" spans="2:3" x14ac:dyDescent="0.25">
      <c r="B99" s="26">
        <v>45385</v>
      </c>
      <c r="C99" s="27">
        <v>504.75</v>
      </c>
    </row>
    <row r="100" spans="2:3" x14ac:dyDescent="0.25">
      <c r="B100" s="26">
        <v>45386</v>
      </c>
      <c r="C100" s="27">
        <v>505.99</v>
      </c>
    </row>
    <row r="101" spans="2:3" x14ac:dyDescent="0.25">
      <c r="B101" s="26">
        <v>45387</v>
      </c>
      <c r="C101" s="27">
        <v>506.51</v>
      </c>
    </row>
    <row r="102" spans="2:3" x14ac:dyDescent="0.25">
      <c r="B102" s="26">
        <v>45388</v>
      </c>
      <c r="C102" s="27">
        <v>507.03</v>
      </c>
    </row>
    <row r="103" spans="2:3" x14ac:dyDescent="0.25">
      <c r="B103" s="26">
        <v>45389</v>
      </c>
      <c r="C103" s="27">
        <v>507.03</v>
      </c>
    </row>
    <row r="104" spans="2:3" x14ac:dyDescent="0.25">
      <c r="B104" s="26">
        <v>45390</v>
      </c>
      <c r="C104" s="27">
        <v>507.03</v>
      </c>
    </row>
    <row r="105" spans="2:3" x14ac:dyDescent="0.25">
      <c r="B105" s="26">
        <v>45391</v>
      </c>
      <c r="C105" s="27">
        <v>505.46</v>
      </c>
    </row>
    <row r="106" spans="2:3" x14ac:dyDescent="0.25">
      <c r="B106" s="26">
        <v>45392</v>
      </c>
      <c r="C106" s="27">
        <v>504.42</v>
      </c>
    </row>
    <row r="107" spans="2:3" x14ac:dyDescent="0.25">
      <c r="B107" s="26">
        <v>45393</v>
      </c>
      <c r="C107" s="27">
        <v>504.11</v>
      </c>
    </row>
    <row r="108" spans="2:3" x14ac:dyDescent="0.25">
      <c r="B108" s="26">
        <v>45394</v>
      </c>
      <c r="C108" s="27">
        <v>504.34</v>
      </c>
    </row>
    <row r="109" spans="2:3" x14ac:dyDescent="0.25">
      <c r="B109" s="26">
        <v>45395</v>
      </c>
      <c r="C109" s="27">
        <v>504.3</v>
      </c>
    </row>
    <row r="110" spans="2:3" x14ac:dyDescent="0.25">
      <c r="B110" s="26">
        <v>45396</v>
      </c>
      <c r="C110" s="27">
        <v>504.3</v>
      </c>
    </row>
    <row r="111" spans="2:3" x14ac:dyDescent="0.25">
      <c r="B111" s="26">
        <v>45397</v>
      </c>
      <c r="C111" s="27">
        <v>504.3</v>
      </c>
    </row>
    <row r="112" spans="2:3" x14ac:dyDescent="0.25">
      <c r="B112" s="26">
        <v>45398</v>
      </c>
      <c r="C112" s="27">
        <v>504.3</v>
      </c>
    </row>
    <row r="113" spans="2:3" x14ac:dyDescent="0.25">
      <c r="B113" s="26">
        <v>45399</v>
      </c>
      <c r="C113" s="27">
        <v>503.52</v>
      </c>
    </row>
    <row r="114" spans="2:3" x14ac:dyDescent="0.25">
      <c r="B114" s="26">
        <v>45400</v>
      </c>
      <c r="C114" s="27">
        <v>504.11</v>
      </c>
    </row>
    <row r="115" spans="2:3" x14ac:dyDescent="0.25">
      <c r="B115" s="26">
        <v>45401</v>
      </c>
      <c r="C115" s="27">
        <v>504.07</v>
      </c>
    </row>
    <row r="116" spans="2:3" x14ac:dyDescent="0.25">
      <c r="B116" s="26">
        <v>45402</v>
      </c>
      <c r="C116" s="27">
        <v>503.7</v>
      </c>
    </row>
    <row r="117" spans="2:3" x14ac:dyDescent="0.25">
      <c r="B117" s="26">
        <v>45403</v>
      </c>
      <c r="C117" s="27">
        <v>503.7</v>
      </c>
    </row>
    <row r="118" spans="2:3" x14ac:dyDescent="0.25">
      <c r="B118" s="26">
        <v>45404</v>
      </c>
      <c r="C118" s="27">
        <v>503.7</v>
      </c>
    </row>
    <row r="119" spans="2:3" x14ac:dyDescent="0.25">
      <c r="B119" s="26">
        <v>45405</v>
      </c>
      <c r="C119" s="27">
        <v>502.86</v>
      </c>
    </row>
    <row r="120" spans="2:3" x14ac:dyDescent="0.25">
      <c r="B120" s="26">
        <v>45406</v>
      </c>
      <c r="C120" s="27">
        <v>504.43</v>
      </c>
    </row>
    <row r="121" spans="2:3" x14ac:dyDescent="0.25">
      <c r="B121" s="26">
        <v>45407</v>
      </c>
      <c r="C121" s="27">
        <v>505.01</v>
      </c>
    </row>
    <row r="122" spans="2:3" x14ac:dyDescent="0.25">
      <c r="B122" s="26">
        <v>45408</v>
      </c>
      <c r="C122" s="27">
        <v>504.88</v>
      </c>
    </row>
    <row r="123" spans="2:3" x14ac:dyDescent="0.25">
      <c r="B123" s="26">
        <v>45409</v>
      </c>
      <c r="C123" s="27">
        <v>505.18</v>
      </c>
    </row>
    <row r="124" spans="2:3" x14ac:dyDescent="0.25">
      <c r="B124" s="26">
        <v>45410</v>
      </c>
      <c r="C124" s="27">
        <v>505.18</v>
      </c>
    </row>
    <row r="125" spans="2:3" x14ac:dyDescent="0.25">
      <c r="B125" s="26">
        <v>45411</v>
      </c>
      <c r="C125" s="27">
        <v>505.18</v>
      </c>
    </row>
    <row r="126" spans="2:3" x14ac:dyDescent="0.25">
      <c r="B126" s="26">
        <v>45412</v>
      </c>
      <c r="C126" s="27">
        <v>507.71</v>
      </c>
    </row>
    <row r="127" spans="2:3" x14ac:dyDescent="0.25">
      <c r="B127" s="26">
        <v>45413</v>
      </c>
      <c r="C127" s="27">
        <v>510.49</v>
      </c>
    </row>
    <row r="128" spans="2:3" x14ac:dyDescent="0.25">
      <c r="B128" s="26">
        <v>45414</v>
      </c>
      <c r="C128" s="27">
        <v>510.49</v>
      </c>
    </row>
    <row r="129" spans="2:3" x14ac:dyDescent="0.25">
      <c r="B129" s="26">
        <v>45415</v>
      </c>
      <c r="C129" s="27">
        <v>511.4</v>
      </c>
    </row>
    <row r="130" spans="2:3" x14ac:dyDescent="0.25">
      <c r="B130" s="26">
        <v>45416</v>
      </c>
      <c r="C130" s="27">
        <v>511.51</v>
      </c>
    </row>
    <row r="131" spans="2:3" x14ac:dyDescent="0.25">
      <c r="B131" s="26">
        <v>45417</v>
      </c>
      <c r="C131" s="27">
        <v>511.51</v>
      </c>
    </row>
    <row r="132" spans="2:3" x14ac:dyDescent="0.25">
      <c r="B132" s="26">
        <v>45418</v>
      </c>
      <c r="C132" s="27">
        <v>511.51</v>
      </c>
    </row>
    <row r="133" spans="2:3" x14ac:dyDescent="0.25">
      <c r="B133" s="26">
        <v>45419</v>
      </c>
      <c r="C133" s="27">
        <v>512.28</v>
      </c>
    </row>
    <row r="134" spans="2:3" x14ac:dyDescent="0.25">
      <c r="B134" s="26">
        <v>45420</v>
      </c>
      <c r="C134" s="27">
        <v>512.64</v>
      </c>
    </row>
    <row r="135" spans="2:3" x14ac:dyDescent="0.25">
      <c r="B135" s="26">
        <v>45421</v>
      </c>
      <c r="C135" s="27">
        <v>513.78</v>
      </c>
    </row>
    <row r="136" spans="2:3" x14ac:dyDescent="0.25">
      <c r="B136" s="26">
        <v>45422</v>
      </c>
      <c r="C136" s="27">
        <v>513.95000000000005</v>
      </c>
    </row>
    <row r="137" spans="2:3" x14ac:dyDescent="0.25">
      <c r="B137" s="26">
        <v>45423</v>
      </c>
      <c r="C137" s="27">
        <v>514.66</v>
      </c>
    </row>
    <row r="138" spans="2:3" x14ac:dyDescent="0.25">
      <c r="B138" s="26">
        <v>45424</v>
      </c>
      <c r="C138" s="27">
        <v>514.66</v>
      </c>
    </row>
    <row r="139" spans="2:3" x14ac:dyDescent="0.25">
      <c r="B139" s="26">
        <v>45425</v>
      </c>
      <c r="C139" s="27">
        <v>514.66</v>
      </c>
    </row>
    <row r="140" spans="2:3" x14ac:dyDescent="0.25">
      <c r="B140" s="26">
        <v>45426</v>
      </c>
      <c r="C140" s="27">
        <v>514.29999999999995</v>
      </c>
    </row>
    <row r="141" spans="2:3" x14ac:dyDescent="0.25">
      <c r="B141" s="26">
        <v>45427</v>
      </c>
      <c r="C141" s="27">
        <v>512.70000000000005</v>
      </c>
    </row>
    <row r="142" spans="2:3" x14ac:dyDescent="0.25">
      <c r="B142" s="26">
        <v>45428</v>
      </c>
      <c r="C142" s="27">
        <v>511.92</v>
      </c>
    </row>
    <row r="143" spans="2:3" x14ac:dyDescent="0.25">
      <c r="B143" s="26">
        <v>45429</v>
      </c>
      <c r="C143" s="27">
        <v>511.39</v>
      </c>
    </row>
    <row r="144" spans="2:3" x14ac:dyDescent="0.25">
      <c r="B144" s="26">
        <v>45430</v>
      </c>
      <c r="C144" s="27">
        <v>512.59</v>
      </c>
    </row>
    <row r="145" spans="2:3" x14ac:dyDescent="0.25">
      <c r="B145" s="26">
        <v>45431</v>
      </c>
      <c r="C145" s="27">
        <v>512.59</v>
      </c>
    </row>
    <row r="146" spans="2:3" x14ac:dyDescent="0.25">
      <c r="B146" s="26">
        <v>45432</v>
      </c>
      <c r="C146" s="27">
        <v>512.59</v>
      </c>
    </row>
    <row r="147" spans="2:3" x14ac:dyDescent="0.25">
      <c r="B147" s="26">
        <v>45433</v>
      </c>
      <c r="C147" s="27">
        <v>513.21</v>
      </c>
    </row>
    <row r="148" spans="2:3" x14ac:dyDescent="0.25">
      <c r="B148" s="26">
        <v>45434</v>
      </c>
      <c r="C148" s="27">
        <v>514.73</v>
      </c>
    </row>
    <row r="149" spans="2:3" x14ac:dyDescent="0.25">
      <c r="B149" s="26">
        <v>45435</v>
      </c>
      <c r="C149" s="27">
        <v>516.36</v>
      </c>
    </row>
    <row r="150" spans="2:3" x14ac:dyDescent="0.25">
      <c r="B150" s="26">
        <v>45436</v>
      </c>
      <c r="C150" s="27">
        <v>518.25</v>
      </c>
    </row>
    <row r="151" spans="2:3" x14ac:dyDescent="0.25">
      <c r="B151" s="26">
        <v>45437</v>
      </c>
      <c r="C151" s="27">
        <v>520.29999999999995</v>
      </c>
    </row>
    <row r="152" spans="2:3" x14ac:dyDescent="0.25">
      <c r="B152" s="26">
        <v>45438</v>
      </c>
      <c r="C152" s="27">
        <v>520.29999999999995</v>
      </c>
    </row>
    <row r="153" spans="2:3" x14ac:dyDescent="0.25">
      <c r="B153" s="26">
        <v>45439</v>
      </c>
      <c r="C153" s="27">
        <v>520.29999999999995</v>
      </c>
    </row>
    <row r="154" spans="2:3" x14ac:dyDescent="0.25">
      <c r="B154" s="26">
        <v>45440</v>
      </c>
      <c r="C154" s="27">
        <v>522.78</v>
      </c>
    </row>
    <row r="155" spans="2:3" x14ac:dyDescent="0.25">
      <c r="B155" s="26">
        <v>45441</v>
      </c>
      <c r="C155" s="27">
        <v>525.04999999999995</v>
      </c>
    </row>
    <row r="156" spans="2:3" x14ac:dyDescent="0.25">
      <c r="B156" s="26">
        <v>45442</v>
      </c>
      <c r="C156" s="27">
        <v>527.11</v>
      </c>
    </row>
    <row r="157" spans="2:3" x14ac:dyDescent="0.25">
      <c r="B157" s="26">
        <v>45443</v>
      </c>
      <c r="C157" s="27">
        <v>528.54999999999995</v>
      </c>
    </row>
    <row r="158" spans="2:3" x14ac:dyDescent="0.25">
      <c r="B158" s="26">
        <v>45444</v>
      </c>
      <c r="C158" s="27">
        <v>532</v>
      </c>
    </row>
    <row r="159" spans="2:3" x14ac:dyDescent="0.25">
      <c r="B159" s="26">
        <v>45445</v>
      </c>
      <c r="C159" s="27">
        <v>532</v>
      </c>
    </row>
    <row r="160" spans="2:3" x14ac:dyDescent="0.25">
      <c r="B160" s="26">
        <v>45446</v>
      </c>
      <c r="C160" s="27">
        <v>532</v>
      </c>
    </row>
    <row r="161" spans="2:3" x14ac:dyDescent="0.25">
      <c r="B161" s="26">
        <v>45447</v>
      </c>
      <c r="C161" s="27">
        <v>534.54999999999995</v>
      </c>
    </row>
    <row r="162" spans="2:3" x14ac:dyDescent="0.25">
      <c r="B162" s="26">
        <v>45448</v>
      </c>
      <c r="C162" s="27">
        <v>532.62</v>
      </c>
    </row>
    <row r="163" spans="2:3" x14ac:dyDescent="0.25">
      <c r="B163" s="26">
        <v>45449</v>
      </c>
      <c r="C163" s="27">
        <v>531.96</v>
      </c>
    </row>
    <row r="164" spans="2:3" x14ac:dyDescent="0.25">
      <c r="B164" s="26">
        <v>45450</v>
      </c>
      <c r="C164" s="27">
        <v>532.61</v>
      </c>
    </row>
    <row r="165" spans="2:3" x14ac:dyDescent="0.25">
      <c r="B165" s="26">
        <v>45451</v>
      </c>
      <c r="C165" s="27">
        <v>534.84</v>
      </c>
    </row>
    <row r="166" spans="2:3" x14ac:dyDescent="0.25">
      <c r="B166" s="26">
        <v>45452</v>
      </c>
      <c r="C166" s="27">
        <v>534.84</v>
      </c>
    </row>
    <row r="167" spans="2:3" x14ac:dyDescent="0.25">
      <c r="B167" s="26">
        <v>45453</v>
      </c>
      <c r="C167" s="27">
        <v>534.84</v>
      </c>
    </row>
    <row r="168" spans="2:3" x14ac:dyDescent="0.25">
      <c r="B168" s="26">
        <v>45454</v>
      </c>
      <c r="C168" s="27">
        <v>535.4</v>
      </c>
    </row>
    <row r="169" spans="2:3" x14ac:dyDescent="0.25">
      <c r="B169" s="26">
        <v>45455</v>
      </c>
      <c r="C169" s="27">
        <v>530.09</v>
      </c>
    </row>
    <row r="170" spans="2:3" x14ac:dyDescent="0.25">
      <c r="B170" s="26">
        <v>45456</v>
      </c>
      <c r="C170" s="27">
        <v>527.98</v>
      </c>
    </row>
    <row r="171" spans="2:3" x14ac:dyDescent="0.25">
      <c r="B171" s="26">
        <v>45457</v>
      </c>
      <c r="C171" s="27">
        <v>527</v>
      </c>
    </row>
    <row r="172" spans="2:3" x14ac:dyDescent="0.25">
      <c r="B172" s="26">
        <v>45458</v>
      </c>
      <c r="C172" s="27">
        <v>526.12</v>
      </c>
    </row>
    <row r="173" spans="2:3" x14ac:dyDescent="0.25">
      <c r="B173" s="26">
        <v>45459</v>
      </c>
      <c r="C173" s="27">
        <v>526.12</v>
      </c>
    </row>
    <row r="174" spans="2:3" x14ac:dyDescent="0.25">
      <c r="B174" s="26">
        <v>45460</v>
      </c>
      <c r="C174" s="27">
        <v>526.12</v>
      </c>
    </row>
    <row r="175" spans="2:3" x14ac:dyDescent="0.25">
      <c r="B175" s="26">
        <v>45461</v>
      </c>
      <c r="C175" s="27">
        <v>522.25</v>
      </c>
    </row>
    <row r="176" spans="2:3" x14ac:dyDescent="0.25">
      <c r="B176" s="26">
        <v>45462</v>
      </c>
      <c r="C176" s="27">
        <v>521.65</v>
      </c>
    </row>
    <row r="177" spans="2:3" x14ac:dyDescent="0.25">
      <c r="B177" s="26">
        <v>45463</v>
      </c>
      <c r="C177" s="27">
        <v>521.86</v>
      </c>
    </row>
    <row r="178" spans="2:3" x14ac:dyDescent="0.25">
      <c r="B178" s="26">
        <v>45464</v>
      </c>
      <c r="C178" s="27">
        <v>523.65</v>
      </c>
    </row>
    <row r="179" spans="2:3" x14ac:dyDescent="0.25">
      <c r="B179" s="26">
        <v>45465</v>
      </c>
      <c r="C179" s="27">
        <v>526.72</v>
      </c>
    </row>
    <row r="180" spans="2:3" x14ac:dyDescent="0.25">
      <c r="B180" s="26">
        <v>45466</v>
      </c>
      <c r="C180" s="27">
        <v>526.72</v>
      </c>
    </row>
    <row r="181" spans="2:3" x14ac:dyDescent="0.25">
      <c r="B181" s="26">
        <v>45467</v>
      </c>
      <c r="C181" s="27">
        <v>526.72</v>
      </c>
    </row>
    <row r="182" spans="2:3" x14ac:dyDescent="0.25">
      <c r="B182" s="26">
        <v>45468</v>
      </c>
      <c r="C182" s="27">
        <v>527.62</v>
      </c>
    </row>
    <row r="183" spans="2:3" x14ac:dyDescent="0.25">
      <c r="B183" s="26">
        <v>45469</v>
      </c>
      <c r="C183" s="27">
        <v>525.04</v>
      </c>
    </row>
    <row r="184" spans="2:3" x14ac:dyDescent="0.25">
      <c r="B184" s="26">
        <v>45470</v>
      </c>
      <c r="C184" s="27">
        <v>526.85</v>
      </c>
    </row>
    <row r="185" spans="2:3" x14ac:dyDescent="0.25">
      <c r="B185" s="26">
        <v>45471</v>
      </c>
      <c r="C185" s="27">
        <v>528.79999999999995</v>
      </c>
    </row>
    <row r="186" spans="2:3" x14ac:dyDescent="0.25">
      <c r="B186" s="26">
        <v>45472</v>
      </c>
      <c r="C186" s="27">
        <v>530.41</v>
      </c>
    </row>
    <row r="187" spans="2:3" x14ac:dyDescent="0.25">
      <c r="B187" s="26">
        <v>45473</v>
      </c>
      <c r="C187" s="27">
        <v>530.41</v>
      </c>
    </row>
    <row r="188" spans="2:3" x14ac:dyDescent="0.25">
      <c r="B188" s="26">
        <v>45474</v>
      </c>
      <c r="C188" s="27">
        <v>530.41</v>
      </c>
    </row>
    <row r="189" spans="2:3" x14ac:dyDescent="0.25">
      <c r="B189" s="26">
        <v>45475</v>
      </c>
      <c r="C189" s="27">
        <v>529.51</v>
      </c>
    </row>
    <row r="190" spans="2:3" x14ac:dyDescent="0.25">
      <c r="B190" s="26">
        <v>45476</v>
      </c>
      <c r="C190" s="27">
        <v>529.42999999999995</v>
      </c>
    </row>
    <row r="191" spans="2:3" x14ac:dyDescent="0.25">
      <c r="B191" s="26">
        <v>45477</v>
      </c>
      <c r="C191" s="27">
        <v>529.09</v>
      </c>
    </row>
    <row r="192" spans="2:3" x14ac:dyDescent="0.25">
      <c r="B192" s="26">
        <v>45478</v>
      </c>
      <c r="C192" s="27">
        <v>531.39</v>
      </c>
    </row>
    <row r="193" spans="2:3" x14ac:dyDescent="0.25">
      <c r="B193" s="26">
        <v>45479</v>
      </c>
      <c r="C193" s="27">
        <v>534.95000000000005</v>
      </c>
    </row>
    <row r="194" spans="2:3" x14ac:dyDescent="0.25">
      <c r="B194" s="26">
        <v>45480</v>
      </c>
      <c r="C194" s="27">
        <v>534.95000000000005</v>
      </c>
    </row>
    <row r="195" spans="2:3" x14ac:dyDescent="0.25">
      <c r="B195" s="26">
        <v>45481</v>
      </c>
      <c r="C195" s="27">
        <v>534.95000000000005</v>
      </c>
    </row>
    <row r="196" spans="2:3" x14ac:dyDescent="0.25">
      <c r="B196" s="26">
        <v>45482</v>
      </c>
      <c r="C196" s="27">
        <v>534.29</v>
      </c>
    </row>
    <row r="197" spans="2:3" x14ac:dyDescent="0.25">
      <c r="B197" s="26">
        <v>45483</v>
      </c>
      <c r="C197" s="27">
        <v>529.11</v>
      </c>
    </row>
    <row r="198" spans="2:3" x14ac:dyDescent="0.25">
      <c r="B198" s="26">
        <v>45484</v>
      </c>
      <c r="C198" s="27">
        <v>527.52</v>
      </c>
    </row>
    <row r="199" spans="2:3" x14ac:dyDescent="0.25">
      <c r="B199" s="26">
        <v>45485</v>
      </c>
      <c r="C199" s="27">
        <v>525.92999999999995</v>
      </c>
    </row>
    <row r="200" spans="2:3" x14ac:dyDescent="0.25">
      <c r="B200" s="26">
        <v>45486</v>
      </c>
      <c r="C200" s="27">
        <v>527.05999999999995</v>
      </c>
    </row>
    <row r="201" spans="2:3" x14ac:dyDescent="0.25">
      <c r="B201" s="26">
        <v>45487</v>
      </c>
      <c r="C201" s="27">
        <v>527.05999999999995</v>
      </c>
    </row>
    <row r="202" spans="2:3" x14ac:dyDescent="0.25">
      <c r="B202" s="26">
        <v>45488</v>
      </c>
      <c r="C202" s="27">
        <v>527.05999999999995</v>
      </c>
    </row>
    <row r="203" spans="2:3" x14ac:dyDescent="0.25">
      <c r="B203" s="26">
        <v>45489</v>
      </c>
      <c r="C203" s="27">
        <v>526.05999999999995</v>
      </c>
    </row>
    <row r="204" spans="2:3" x14ac:dyDescent="0.25">
      <c r="B204" s="26">
        <v>45490</v>
      </c>
      <c r="C204" s="27">
        <v>525.84</v>
      </c>
    </row>
    <row r="205" spans="2:3" x14ac:dyDescent="0.25">
      <c r="B205" s="26">
        <v>45491</v>
      </c>
      <c r="C205" s="27">
        <v>525.82000000000005</v>
      </c>
    </row>
    <row r="206" spans="2:3" x14ac:dyDescent="0.25">
      <c r="B206" s="26">
        <v>45492</v>
      </c>
      <c r="C206" s="27">
        <v>527.79</v>
      </c>
    </row>
    <row r="207" spans="2:3" x14ac:dyDescent="0.25">
      <c r="B207" s="26">
        <v>45493</v>
      </c>
      <c r="C207" s="27">
        <v>531.35</v>
      </c>
    </row>
    <row r="208" spans="2:3" x14ac:dyDescent="0.25">
      <c r="B208" s="26">
        <v>45494</v>
      </c>
      <c r="C208" s="27">
        <v>531.35</v>
      </c>
    </row>
    <row r="209" spans="2:3" x14ac:dyDescent="0.25">
      <c r="B209" s="26">
        <v>45495</v>
      </c>
      <c r="C209" s="27">
        <v>531.35</v>
      </c>
    </row>
    <row r="210" spans="2:3" x14ac:dyDescent="0.25">
      <c r="B210" s="26">
        <v>45496</v>
      </c>
      <c r="C210" s="27">
        <v>531.04999999999995</v>
      </c>
    </row>
    <row r="211" spans="2:3" x14ac:dyDescent="0.25">
      <c r="B211" s="26">
        <v>45497</v>
      </c>
      <c r="C211" s="27">
        <v>529.67999999999995</v>
      </c>
    </row>
    <row r="212" spans="2:3" x14ac:dyDescent="0.25">
      <c r="B212" s="26">
        <v>45498</v>
      </c>
      <c r="C212" s="27">
        <v>527.85</v>
      </c>
    </row>
    <row r="213" spans="2:3" x14ac:dyDescent="0.25">
      <c r="B213" s="26">
        <v>45499</v>
      </c>
      <c r="C213" s="27">
        <v>527.85</v>
      </c>
    </row>
    <row r="214" spans="2:3" x14ac:dyDescent="0.25">
      <c r="B214" s="26">
        <v>45500</v>
      </c>
      <c r="C214" s="27">
        <v>527.73</v>
      </c>
    </row>
    <row r="215" spans="2:3" x14ac:dyDescent="0.25">
      <c r="B215" s="26">
        <v>45501</v>
      </c>
      <c r="C215" s="27">
        <v>527.73</v>
      </c>
    </row>
    <row r="216" spans="2:3" x14ac:dyDescent="0.25">
      <c r="B216" s="26">
        <v>45502</v>
      </c>
      <c r="C216" s="27">
        <v>527.73</v>
      </c>
    </row>
    <row r="217" spans="2:3" x14ac:dyDescent="0.25">
      <c r="B217" s="26">
        <v>45503</v>
      </c>
      <c r="C217" s="27">
        <v>527.17999999999995</v>
      </c>
    </row>
    <row r="218" spans="2:3" x14ac:dyDescent="0.25">
      <c r="B218" s="26">
        <v>45504</v>
      </c>
      <c r="C218" s="27">
        <v>527.61</v>
      </c>
    </row>
    <row r="219" spans="2:3" x14ac:dyDescent="0.25">
      <c r="B219" s="26">
        <v>45505</v>
      </c>
      <c r="C219" s="27">
        <v>525.72</v>
      </c>
    </row>
    <row r="220" spans="2:3" x14ac:dyDescent="0.25">
      <c r="B220" s="26">
        <v>45506</v>
      </c>
      <c r="C220" s="27">
        <v>526.17999999999995</v>
      </c>
    </row>
    <row r="221" spans="2:3" x14ac:dyDescent="0.25">
      <c r="B221" s="26">
        <v>45507</v>
      </c>
      <c r="C221" s="27">
        <v>526.17999999999995</v>
      </c>
    </row>
    <row r="222" spans="2:3" x14ac:dyDescent="0.25">
      <c r="B222" s="26">
        <v>45508</v>
      </c>
      <c r="C222" s="27">
        <v>526.17999999999995</v>
      </c>
    </row>
    <row r="223" spans="2:3" x14ac:dyDescent="0.25">
      <c r="B223" s="26">
        <v>45509</v>
      </c>
      <c r="C223" s="27">
        <v>526.17999999999995</v>
      </c>
    </row>
    <row r="224" spans="2:3" x14ac:dyDescent="0.25">
      <c r="B224" s="26">
        <v>45510</v>
      </c>
      <c r="C224" s="27">
        <v>526.38</v>
      </c>
    </row>
    <row r="225" spans="2:3" x14ac:dyDescent="0.25">
      <c r="B225" s="26">
        <v>45511</v>
      </c>
      <c r="C225" s="27">
        <v>526.14</v>
      </c>
    </row>
    <row r="226" spans="2:3" x14ac:dyDescent="0.25">
      <c r="B226" s="26">
        <v>45512</v>
      </c>
      <c r="C226" s="27">
        <v>529.11</v>
      </c>
    </row>
    <row r="227" spans="2:3" x14ac:dyDescent="0.25">
      <c r="B227" s="26">
        <v>45513</v>
      </c>
      <c r="C227" s="27">
        <v>531.96</v>
      </c>
    </row>
    <row r="228" spans="2:3" x14ac:dyDescent="0.25">
      <c r="B228" s="26">
        <v>45514</v>
      </c>
      <c r="C228" s="27">
        <v>531.94000000000005</v>
      </c>
    </row>
    <row r="229" spans="2:3" x14ac:dyDescent="0.25">
      <c r="B229" s="26">
        <v>45515</v>
      </c>
      <c r="C229" s="27">
        <v>531.94000000000005</v>
      </c>
    </row>
    <row r="230" spans="2:3" x14ac:dyDescent="0.25">
      <c r="B230" s="26">
        <v>45516</v>
      </c>
      <c r="C230" s="27">
        <v>531.94000000000005</v>
      </c>
    </row>
    <row r="231" spans="2:3" x14ac:dyDescent="0.25">
      <c r="B231" s="26">
        <v>45517</v>
      </c>
      <c r="C231" s="27">
        <v>529.87</v>
      </c>
    </row>
    <row r="232" spans="2:3" x14ac:dyDescent="0.25">
      <c r="B232" s="26">
        <v>45518</v>
      </c>
      <c r="C232" s="27">
        <v>525.94000000000005</v>
      </c>
    </row>
    <row r="233" spans="2:3" x14ac:dyDescent="0.25">
      <c r="B233" s="26">
        <v>45519</v>
      </c>
      <c r="C233" s="27">
        <v>523.09</v>
      </c>
    </row>
    <row r="234" spans="2:3" x14ac:dyDescent="0.25">
      <c r="B234" s="26">
        <v>45520</v>
      </c>
      <c r="C234" s="27">
        <v>523.09</v>
      </c>
    </row>
    <row r="235" spans="2:3" x14ac:dyDescent="0.25">
      <c r="B235" s="26">
        <v>45521</v>
      </c>
      <c r="C235" s="27">
        <v>521.48</v>
      </c>
    </row>
    <row r="236" spans="2:3" x14ac:dyDescent="0.25">
      <c r="B236" s="26">
        <v>45522</v>
      </c>
      <c r="C236" s="27">
        <v>521.48</v>
      </c>
    </row>
    <row r="237" spans="2:3" x14ac:dyDescent="0.25">
      <c r="B237" s="26">
        <v>45523</v>
      </c>
      <c r="C237" s="27">
        <v>521.48</v>
      </c>
    </row>
    <row r="238" spans="2:3" x14ac:dyDescent="0.25">
      <c r="B238" s="26">
        <v>45524</v>
      </c>
      <c r="C238" s="27">
        <v>521.47</v>
      </c>
    </row>
    <row r="239" spans="2:3" x14ac:dyDescent="0.25">
      <c r="B239" s="26">
        <v>45525</v>
      </c>
      <c r="C239" s="27">
        <v>523.65</v>
      </c>
    </row>
    <row r="240" spans="2:3" x14ac:dyDescent="0.25">
      <c r="B240" s="26">
        <v>45526</v>
      </c>
      <c r="C240" s="27">
        <v>524.97</v>
      </c>
    </row>
    <row r="241" spans="2:3" x14ac:dyDescent="0.25">
      <c r="B241" s="26">
        <v>45527</v>
      </c>
      <c r="C241" s="27">
        <v>524.72</v>
      </c>
    </row>
    <row r="242" spans="2:3" x14ac:dyDescent="0.25">
      <c r="B242" s="26">
        <v>45528</v>
      </c>
      <c r="C242" s="27">
        <v>527.09</v>
      </c>
    </row>
    <row r="243" spans="2:3" x14ac:dyDescent="0.25">
      <c r="B243" s="26">
        <v>45529</v>
      </c>
      <c r="C243" s="27">
        <v>527.09</v>
      </c>
    </row>
    <row r="244" spans="2:3" x14ac:dyDescent="0.25">
      <c r="B244" s="26">
        <v>45530</v>
      </c>
      <c r="C244" s="27">
        <v>527.09</v>
      </c>
    </row>
    <row r="245" spans="2:3" x14ac:dyDescent="0.25">
      <c r="B245" s="26">
        <v>45531</v>
      </c>
      <c r="C245" s="27">
        <v>526.38</v>
      </c>
    </row>
    <row r="246" spans="2:3" x14ac:dyDescent="0.25">
      <c r="B246" s="26">
        <v>45532</v>
      </c>
      <c r="C246" s="27">
        <v>522.79</v>
      </c>
    </row>
    <row r="247" spans="2:3" x14ac:dyDescent="0.25">
      <c r="B247" s="26">
        <v>45533</v>
      </c>
      <c r="C247" s="27">
        <v>521.9</v>
      </c>
    </row>
    <row r="248" spans="2:3" x14ac:dyDescent="0.25">
      <c r="B248" s="26">
        <v>45534</v>
      </c>
      <c r="C248" s="27">
        <v>521.72</v>
      </c>
    </row>
    <row r="249" spans="2:3" x14ac:dyDescent="0.25">
      <c r="B249" s="26">
        <v>45535</v>
      </c>
      <c r="C249" s="27">
        <v>521.66</v>
      </c>
    </row>
    <row r="250" spans="2:3" x14ac:dyDescent="0.25">
      <c r="B250" s="26">
        <v>45536</v>
      </c>
      <c r="C250" s="27">
        <v>521.66</v>
      </c>
    </row>
    <row r="251" spans="2:3" x14ac:dyDescent="0.25">
      <c r="B251" s="26">
        <v>45537</v>
      </c>
      <c r="C251" s="27">
        <v>521.66</v>
      </c>
    </row>
    <row r="252" spans="2:3" x14ac:dyDescent="0.25">
      <c r="B252" s="26">
        <v>45538</v>
      </c>
      <c r="C252" s="27">
        <v>521.47</v>
      </c>
    </row>
    <row r="253" spans="2:3" x14ac:dyDescent="0.25">
      <c r="B253" s="26">
        <v>45539</v>
      </c>
      <c r="C253" s="27">
        <v>521.14</v>
      </c>
    </row>
    <row r="254" spans="2:3" x14ac:dyDescent="0.25">
      <c r="B254" s="26">
        <v>45540</v>
      </c>
      <c r="C254" s="27">
        <v>522.46</v>
      </c>
    </row>
    <row r="255" spans="2:3" x14ac:dyDescent="0.25">
      <c r="B255" s="26">
        <v>45541</v>
      </c>
      <c r="C255" s="27">
        <v>524.77</v>
      </c>
    </row>
    <row r="256" spans="2:3" x14ac:dyDescent="0.25">
      <c r="B256" s="26">
        <v>45542</v>
      </c>
      <c r="C256" s="27">
        <v>524.64</v>
      </c>
    </row>
    <row r="257" spans="2:3" x14ac:dyDescent="0.25">
      <c r="B257" s="26">
        <v>45543</v>
      </c>
      <c r="C257" s="27">
        <v>524.64</v>
      </c>
    </row>
    <row r="258" spans="2:3" x14ac:dyDescent="0.25">
      <c r="B258" s="26">
        <v>45544</v>
      </c>
      <c r="C258" s="27">
        <v>524.64</v>
      </c>
    </row>
    <row r="259" spans="2:3" x14ac:dyDescent="0.25">
      <c r="B259" s="26">
        <v>45545</v>
      </c>
      <c r="C259" s="27">
        <v>521.71</v>
      </c>
    </row>
    <row r="260" spans="2:3" x14ac:dyDescent="0.25">
      <c r="B260" s="26">
        <v>45546</v>
      </c>
      <c r="C260" s="27">
        <v>521.64</v>
      </c>
    </row>
    <row r="261" spans="2:3" x14ac:dyDescent="0.25">
      <c r="B261" s="26">
        <v>45547</v>
      </c>
      <c r="C261" s="27">
        <v>519.70000000000005</v>
      </c>
    </row>
    <row r="262" spans="2:3" x14ac:dyDescent="0.25">
      <c r="B262" s="26">
        <v>45548</v>
      </c>
      <c r="C262" s="27">
        <v>520.5</v>
      </c>
    </row>
    <row r="263" spans="2:3" x14ac:dyDescent="0.25">
      <c r="B263" s="26">
        <v>45549</v>
      </c>
      <c r="C263" s="27">
        <v>522.64</v>
      </c>
    </row>
    <row r="264" spans="2:3" x14ac:dyDescent="0.25">
      <c r="B264" s="26">
        <v>45550</v>
      </c>
      <c r="C264" s="27">
        <v>522.64</v>
      </c>
    </row>
    <row r="265" spans="2:3" x14ac:dyDescent="0.25">
      <c r="B265" s="26">
        <v>45551</v>
      </c>
      <c r="C265" s="27">
        <v>522.64</v>
      </c>
    </row>
    <row r="266" spans="2:3" x14ac:dyDescent="0.25">
      <c r="B266" s="26">
        <v>45552</v>
      </c>
      <c r="C266" s="27">
        <v>519.79</v>
      </c>
    </row>
    <row r="267" spans="2:3" x14ac:dyDescent="0.25">
      <c r="B267" s="26">
        <v>45553</v>
      </c>
      <c r="C267" s="27">
        <v>520.29</v>
      </c>
    </row>
    <row r="268" spans="2:3" x14ac:dyDescent="0.25">
      <c r="B268" s="26">
        <v>45554</v>
      </c>
      <c r="C268" s="27">
        <v>521.67999999999995</v>
      </c>
    </row>
    <row r="269" spans="2:3" x14ac:dyDescent="0.25">
      <c r="B269" s="26">
        <v>45555</v>
      </c>
      <c r="C269" s="27">
        <v>522.13</v>
      </c>
    </row>
    <row r="270" spans="2:3" x14ac:dyDescent="0.25">
      <c r="B270" s="26">
        <v>45556</v>
      </c>
      <c r="C270" s="27">
        <v>521.30999999999995</v>
      </c>
    </row>
    <row r="271" spans="2:3" x14ac:dyDescent="0.25">
      <c r="B271" s="26">
        <v>45557</v>
      </c>
      <c r="C271" s="27">
        <v>521.30999999999995</v>
      </c>
    </row>
    <row r="272" spans="2:3" x14ac:dyDescent="0.25">
      <c r="B272" s="26">
        <v>45558</v>
      </c>
      <c r="C272" s="27">
        <v>521.30999999999995</v>
      </c>
    </row>
    <row r="273" spans="2:3" x14ac:dyDescent="0.25">
      <c r="B273" s="26">
        <v>45559</v>
      </c>
      <c r="C273" s="27">
        <v>521.75</v>
      </c>
    </row>
    <row r="274" spans="2:3" x14ac:dyDescent="0.25">
      <c r="B274" s="26">
        <v>45560</v>
      </c>
      <c r="C274" s="27">
        <v>521.28</v>
      </c>
    </row>
    <row r="275" spans="2:3" x14ac:dyDescent="0.25">
      <c r="B275" s="26">
        <v>45561</v>
      </c>
      <c r="C275" s="27">
        <v>521.12</v>
      </c>
    </row>
    <row r="276" spans="2:3" x14ac:dyDescent="0.25">
      <c r="B276" s="26">
        <v>45562</v>
      </c>
      <c r="C276" s="27">
        <v>521.44000000000005</v>
      </c>
    </row>
    <row r="277" spans="2:3" x14ac:dyDescent="0.25">
      <c r="B277" s="26">
        <v>45563</v>
      </c>
      <c r="C277" s="27">
        <v>522.87</v>
      </c>
    </row>
    <row r="278" spans="2:3" x14ac:dyDescent="0.25">
      <c r="B278" s="26">
        <v>45564</v>
      </c>
      <c r="C278" s="27">
        <v>522.87</v>
      </c>
    </row>
    <row r="279" spans="2:3" x14ac:dyDescent="0.25">
      <c r="B279" s="26">
        <v>45565</v>
      </c>
      <c r="C279" s="27">
        <v>522.87</v>
      </c>
    </row>
    <row r="280" spans="2:3" x14ac:dyDescent="0.25">
      <c r="B280" s="26">
        <v>45566</v>
      </c>
      <c r="C280" s="27">
        <v>521.69000000000005</v>
      </c>
    </row>
    <row r="281" spans="2:3" x14ac:dyDescent="0.25">
      <c r="B281" s="26">
        <v>45567</v>
      </c>
      <c r="C281" s="27">
        <v>520.71</v>
      </c>
    </row>
    <row r="282" spans="2:3" x14ac:dyDescent="0.25">
      <c r="B282" s="26">
        <v>45568</v>
      </c>
      <c r="C282" s="27">
        <v>520.58000000000004</v>
      </c>
    </row>
    <row r="283" spans="2:3" x14ac:dyDescent="0.25">
      <c r="B283" s="26">
        <v>45569</v>
      </c>
      <c r="C283" s="27">
        <v>521.89</v>
      </c>
    </row>
    <row r="284" spans="2:3" x14ac:dyDescent="0.25">
      <c r="B284" s="26">
        <v>45570</v>
      </c>
      <c r="C284" s="27">
        <v>522.37</v>
      </c>
    </row>
    <row r="285" spans="2:3" x14ac:dyDescent="0.25">
      <c r="B285" s="26">
        <v>45571</v>
      </c>
      <c r="C285" s="27">
        <v>522.37</v>
      </c>
    </row>
    <row r="286" spans="2:3" x14ac:dyDescent="0.25">
      <c r="B286" s="26">
        <v>45572</v>
      </c>
      <c r="C286" s="27">
        <v>522.37</v>
      </c>
    </row>
    <row r="287" spans="2:3" x14ac:dyDescent="0.25">
      <c r="B287" s="26">
        <v>45573</v>
      </c>
      <c r="C287" s="27">
        <v>521.5</v>
      </c>
    </row>
    <row r="288" spans="2:3" x14ac:dyDescent="0.25">
      <c r="B288" s="26">
        <v>45574</v>
      </c>
      <c r="C288" s="27">
        <v>519.38</v>
      </c>
    </row>
    <row r="289" spans="2:3" x14ac:dyDescent="0.25">
      <c r="B289" s="26">
        <v>45575</v>
      </c>
      <c r="C289" s="27">
        <v>519.16999999999996</v>
      </c>
    </row>
    <row r="290" spans="2:3" x14ac:dyDescent="0.25">
      <c r="B290" s="26">
        <v>45576</v>
      </c>
      <c r="C290" s="27">
        <v>518.79999999999995</v>
      </c>
    </row>
    <row r="291" spans="2:3" x14ac:dyDescent="0.25">
      <c r="B291" s="26">
        <v>45577</v>
      </c>
      <c r="C291" s="27">
        <v>517.94000000000005</v>
      </c>
    </row>
    <row r="292" spans="2:3" x14ac:dyDescent="0.25">
      <c r="B292" s="26">
        <v>45578</v>
      </c>
      <c r="C292" s="27">
        <v>517.94000000000005</v>
      </c>
    </row>
    <row r="293" spans="2:3" x14ac:dyDescent="0.25">
      <c r="B293" s="26">
        <v>45579</v>
      </c>
      <c r="C293" s="27">
        <v>517.94000000000005</v>
      </c>
    </row>
    <row r="294" spans="2:3" x14ac:dyDescent="0.25">
      <c r="B294" s="26">
        <v>45580</v>
      </c>
      <c r="C294" s="27">
        <v>517.75</v>
      </c>
    </row>
    <row r="295" spans="2:3" x14ac:dyDescent="0.25">
      <c r="B295" s="26">
        <v>45581</v>
      </c>
      <c r="C295" s="27">
        <v>518.05999999999995</v>
      </c>
    </row>
    <row r="296" spans="2:3" x14ac:dyDescent="0.25">
      <c r="B296" s="26">
        <v>45582</v>
      </c>
      <c r="C296" s="27">
        <v>517.30999999999995</v>
      </c>
    </row>
    <row r="297" spans="2:3" x14ac:dyDescent="0.25">
      <c r="B297" s="26">
        <v>45583</v>
      </c>
      <c r="C297" s="27">
        <v>517</v>
      </c>
    </row>
    <row r="298" spans="2:3" x14ac:dyDescent="0.25">
      <c r="B298" s="26">
        <v>45584</v>
      </c>
      <c r="C298" s="27">
        <v>517.26</v>
      </c>
    </row>
    <row r="299" spans="2:3" x14ac:dyDescent="0.25">
      <c r="B299" s="26">
        <v>45585</v>
      </c>
      <c r="C299" s="27">
        <v>517.26</v>
      </c>
    </row>
    <row r="300" spans="2:3" x14ac:dyDescent="0.25">
      <c r="B300" s="26">
        <v>45586</v>
      </c>
      <c r="C300" s="27">
        <v>517.26</v>
      </c>
    </row>
    <row r="301" spans="2:3" x14ac:dyDescent="0.25">
      <c r="B301" s="26">
        <v>45587</v>
      </c>
      <c r="C301" s="27">
        <v>517.44000000000005</v>
      </c>
    </row>
    <row r="302" spans="2:3" x14ac:dyDescent="0.25">
      <c r="B302" s="26">
        <v>45588</v>
      </c>
      <c r="C302" s="27">
        <v>518.79999999999995</v>
      </c>
    </row>
    <row r="303" spans="2:3" x14ac:dyDescent="0.25">
      <c r="B303" s="26">
        <v>45589</v>
      </c>
      <c r="C303" s="27">
        <v>518.21</v>
      </c>
    </row>
    <row r="304" spans="2:3" x14ac:dyDescent="0.25">
      <c r="B304" s="26">
        <v>45590</v>
      </c>
      <c r="C304" s="27">
        <v>517</v>
      </c>
    </row>
    <row r="305" spans="2:3" x14ac:dyDescent="0.25">
      <c r="B305" s="26">
        <v>45591</v>
      </c>
      <c r="C305" s="27">
        <v>517.48</v>
      </c>
    </row>
    <row r="306" spans="2:3" x14ac:dyDescent="0.25">
      <c r="B306" s="26">
        <v>45592</v>
      </c>
      <c r="C306" s="27">
        <v>517.48</v>
      </c>
    </row>
    <row r="307" spans="2:3" x14ac:dyDescent="0.25">
      <c r="B307" s="26">
        <v>45593</v>
      </c>
      <c r="C307" s="27">
        <v>517.48</v>
      </c>
    </row>
    <row r="308" spans="2:3" x14ac:dyDescent="0.25">
      <c r="B308" s="26">
        <v>45594</v>
      </c>
      <c r="C308" s="27">
        <v>516.55999999999995</v>
      </c>
    </row>
    <row r="309" spans="2:3" x14ac:dyDescent="0.25">
      <c r="B309" s="26">
        <v>45595</v>
      </c>
      <c r="C309" s="27">
        <v>515.51</v>
      </c>
    </row>
    <row r="310" spans="2:3" x14ac:dyDescent="0.25">
      <c r="B310" s="26">
        <v>45596</v>
      </c>
      <c r="C310" s="27">
        <v>515.61</v>
      </c>
    </row>
    <row r="311" spans="2:3" x14ac:dyDescent="0.25">
      <c r="B311" s="26">
        <v>45597</v>
      </c>
      <c r="C311" s="27">
        <v>515.48</v>
      </c>
    </row>
    <row r="312" spans="2:3" x14ac:dyDescent="0.25">
      <c r="B312" s="26">
        <v>45598</v>
      </c>
      <c r="C312" s="27">
        <v>516.36</v>
      </c>
    </row>
    <row r="313" spans="2:3" x14ac:dyDescent="0.25">
      <c r="B313" s="26">
        <v>45599</v>
      </c>
      <c r="C313" s="27">
        <v>516.36</v>
      </c>
    </row>
    <row r="314" spans="2:3" x14ac:dyDescent="0.25">
      <c r="B314" s="26">
        <v>45600</v>
      </c>
      <c r="C314" s="27">
        <v>516.36</v>
      </c>
    </row>
    <row r="315" spans="2:3" x14ac:dyDescent="0.25">
      <c r="B315" s="26">
        <v>45601</v>
      </c>
      <c r="C315" s="27">
        <v>515.04999999999995</v>
      </c>
    </row>
    <row r="316" spans="2:3" x14ac:dyDescent="0.25">
      <c r="B316" s="26">
        <v>45602</v>
      </c>
      <c r="C316" s="27">
        <v>514.36</v>
      </c>
    </row>
    <row r="317" spans="2:3" x14ac:dyDescent="0.25">
      <c r="B317" s="26">
        <v>45603</v>
      </c>
      <c r="C317" s="27">
        <v>513.47</v>
      </c>
    </row>
    <row r="318" spans="2:3" x14ac:dyDescent="0.25">
      <c r="B318" s="26">
        <v>45604</v>
      </c>
      <c r="C318" s="27">
        <v>514.55999999999995</v>
      </c>
    </row>
    <row r="319" spans="2:3" x14ac:dyDescent="0.25">
      <c r="B319" s="26">
        <v>45605</v>
      </c>
      <c r="C319" s="27">
        <v>516.4</v>
      </c>
    </row>
    <row r="320" spans="2:3" x14ac:dyDescent="0.25">
      <c r="B320" s="26">
        <v>45606</v>
      </c>
      <c r="C320" s="27">
        <v>516.4</v>
      </c>
    </row>
    <row r="321" spans="2:3" x14ac:dyDescent="0.25">
      <c r="B321" s="26">
        <v>45607</v>
      </c>
      <c r="C321" s="27">
        <v>516.4</v>
      </c>
    </row>
    <row r="322" spans="2:3" x14ac:dyDescent="0.25">
      <c r="B322" s="26">
        <v>45608</v>
      </c>
      <c r="C322" s="27">
        <v>514.76</v>
      </c>
    </row>
    <row r="323" spans="2:3" x14ac:dyDescent="0.25">
      <c r="B323" s="26">
        <v>45609</v>
      </c>
      <c r="C323" s="27">
        <v>513.45000000000005</v>
      </c>
    </row>
    <row r="324" spans="2:3" x14ac:dyDescent="0.25">
      <c r="B324" s="26">
        <v>45610</v>
      </c>
      <c r="C324" s="27">
        <v>512.27</v>
      </c>
    </row>
    <row r="325" spans="2:3" x14ac:dyDescent="0.25">
      <c r="B325" s="26">
        <v>45611</v>
      </c>
      <c r="C325" s="27">
        <v>511.85</v>
      </c>
    </row>
    <row r="326" spans="2:3" x14ac:dyDescent="0.25">
      <c r="B326" s="26">
        <v>45612</v>
      </c>
      <c r="C326" s="27">
        <v>511.52</v>
      </c>
    </row>
    <row r="327" spans="2:3" x14ac:dyDescent="0.25">
      <c r="B327" s="26">
        <v>45613</v>
      </c>
      <c r="C327" s="27">
        <v>511.52</v>
      </c>
    </row>
    <row r="328" spans="2:3" x14ac:dyDescent="0.25">
      <c r="B328" s="26">
        <v>45614</v>
      </c>
      <c r="C328" s="27">
        <v>511.52</v>
      </c>
    </row>
    <row r="329" spans="2:3" x14ac:dyDescent="0.25">
      <c r="B329" s="26">
        <v>45615</v>
      </c>
      <c r="C329" s="27">
        <v>511.03</v>
      </c>
    </row>
    <row r="330" spans="2:3" x14ac:dyDescent="0.25">
      <c r="B330" s="26">
        <v>45616</v>
      </c>
      <c r="C330" s="27">
        <v>510.38</v>
      </c>
    </row>
    <row r="331" spans="2:3" x14ac:dyDescent="0.25">
      <c r="B331" s="26">
        <v>45617</v>
      </c>
      <c r="C331" s="27">
        <v>511.54</v>
      </c>
    </row>
    <row r="332" spans="2:3" x14ac:dyDescent="0.25">
      <c r="B332" s="26">
        <v>45618</v>
      </c>
      <c r="C332" s="27">
        <v>513.54</v>
      </c>
    </row>
    <row r="333" spans="2:3" x14ac:dyDescent="0.25">
      <c r="B333" s="26">
        <v>45619</v>
      </c>
      <c r="C333" s="27">
        <v>513.78</v>
      </c>
    </row>
    <row r="334" spans="2:3" x14ac:dyDescent="0.25">
      <c r="B334" s="26">
        <v>45620</v>
      </c>
      <c r="C334" s="27">
        <v>513.78</v>
      </c>
    </row>
    <row r="335" spans="2:3" x14ac:dyDescent="0.25">
      <c r="B335" s="26">
        <v>45621</v>
      </c>
      <c r="C335" s="27">
        <v>513.78</v>
      </c>
    </row>
    <row r="336" spans="2:3" x14ac:dyDescent="0.25">
      <c r="B336" s="26">
        <v>45622</v>
      </c>
      <c r="C336" s="27">
        <v>512.33000000000004</v>
      </c>
    </row>
    <row r="337" spans="2:3" x14ac:dyDescent="0.25">
      <c r="B337" s="26">
        <v>45623</v>
      </c>
      <c r="C337" s="27">
        <v>513.41999999999996</v>
      </c>
    </row>
    <row r="338" spans="2:3" x14ac:dyDescent="0.25">
      <c r="B338" s="26">
        <v>45624</v>
      </c>
      <c r="C338" s="27">
        <v>513.16999999999996</v>
      </c>
    </row>
    <row r="339" spans="2:3" x14ac:dyDescent="0.25">
      <c r="B339" s="26">
        <v>45625</v>
      </c>
      <c r="C339" s="27">
        <v>511.86</v>
      </c>
    </row>
    <row r="340" spans="2:3" x14ac:dyDescent="0.25">
      <c r="B340" s="26">
        <v>45626</v>
      </c>
      <c r="C340" s="27">
        <v>511.54</v>
      </c>
    </row>
    <row r="341" spans="2:3" x14ac:dyDescent="0.25">
      <c r="B341" s="26">
        <v>45627</v>
      </c>
      <c r="C341" s="27">
        <v>511.54</v>
      </c>
    </row>
    <row r="342" spans="2:3" x14ac:dyDescent="0.25">
      <c r="B342" s="26">
        <v>45628</v>
      </c>
      <c r="C342" s="27">
        <v>511.54</v>
      </c>
    </row>
    <row r="343" spans="2:3" x14ac:dyDescent="0.25">
      <c r="B343" s="26">
        <v>45629</v>
      </c>
      <c r="C343" s="27">
        <v>510.71</v>
      </c>
    </row>
    <row r="344" spans="2:3" x14ac:dyDescent="0.25">
      <c r="B344" s="26">
        <v>45630</v>
      </c>
      <c r="C344" s="27">
        <v>508.35</v>
      </c>
    </row>
    <row r="345" spans="2:3" x14ac:dyDescent="0.25">
      <c r="B345" s="26">
        <v>45631</v>
      </c>
      <c r="C345" s="27">
        <v>508.64</v>
      </c>
    </row>
    <row r="346" spans="2:3" x14ac:dyDescent="0.25">
      <c r="B346" s="26">
        <v>45632</v>
      </c>
      <c r="C346" s="27">
        <v>507.09</v>
      </c>
    </row>
    <row r="347" spans="2:3" x14ac:dyDescent="0.25">
      <c r="B347" s="26">
        <v>45633</v>
      </c>
      <c r="C347" s="27">
        <v>507.78</v>
      </c>
    </row>
    <row r="348" spans="2:3" x14ac:dyDescent="0.25">
      <c r="B348" s="26">
        <v>45634</v>
      </c>
      <c r="C348" s="27">
        <v>507.78</v>
      </c>
    </row>
    <row r="349" spans="2:3" x14ac:dyDescent="0.25">
      <c r="B349" s="26">
        <v>45635</v>
      </c>
      <c r="C349" s="27">
        <v>507.78</v>
      </c>
    </row>
    <row r="350" spans="2:3" x14ac:dyDescent="0.25">
      <c r="B350" s="26">
        <v>45636</v>
      </c>
      <c r="C350" s="27">
        <v>506.59</v>
      </c>
    </row>
    <row r="351" spans="2:3" x14ac:dyDescent="0.25">
      <c r="B351" s="26">
        <v>45637</v>
      </c>
      <c r="C351" s="27">
        <v>506.75</v>
      </c>
    </row>
    <row r="352" spans="2:3" x14ac:dyDescent="0.25">
      <c r="B352" s="26">
        <v>45638</v>
      </c>
      <c r="C352" s="27">
        <v>506.69</v>
      </c>
    </row>
    <row r="353" spans="2:3" x14ac:dyDescent="0.25">
      <c r="B353" s="26">
        <v>45639</v>
      </c>
      <c r="C353" s="27">
        <v>507.66</v>
      </c>
    </row>
    <row r="354" spans="2:3" x14ac:dyDescent="0.25">
      <c r="B354" s="26">
        <v>45640</v>
      </c>
      <c r="C354" s="27">
        <v>507.33</v>
      </c>
    </row>
    <row r="355" spans="2:3" x14ac:dyDescent="0.25">
      <c r="B355" s="26">
        <v>45641</v>
      </c>
      <c r="C355" s="27">
        <v>507.33</v>
      </c>
    </row>
    <row r="356" spans="2:3" x14ac:dyDescent="0.25">
      <c r="B356" s="26">
        <v>45642</v>
      </c>
      <c r="C356" s="27">
        <v>507.33</v>
      </c>
    </row>
    <row r="357" spans="2:3" x14ac:dyDescent="0.25">
      <c r="B357" s="26">
        <v>45643</v>
      </c>
      <c r="C357" s="27">
        <v>505.79</v>
      </c>
    </row>
    <row r="358" spans="2:3" x14ac:dyDescent="0.25">
      <c r="B358" s="26">
        <v>45644</v>
      </c>
      <c r="C358" s="27">
        <v>506.35</v>
      </c>
    </row>
    <row r="359" spans="2:3" x14ac:dyDescent="0.25">
      <c r="B359" s="26">
        <v>45645</v>
      </c>
      <c r="C359" s="27">
        <v>507.5</v>
      </c>
    </row>
    <row r="360" spans="2:3" x14ac:dyDescent="0.25">
      <c r="B360" s="26">
        <v>45646</v>
      </c>
      <c r="C360" s="27">
        <v>510.32</v>
      </c>
    </row>
    <row r="361" spans="2:3" x14ac:dyDescent="0.25">
      <c r="B361" s="26">
        <v>45647</v>
      </c>
      <c r="C361" s="27">
        <v>509.95</v>
      </c>
    </row>
    <row r="362" spans="2:3" x14ac:dyDescent="0.25">
      <c r="B362" s="26">
        <v>45648</v>
      </c>
      <c r="C362" s="27">
        <v>509.95</v>
      </c>
    </row>
    <row r="363" spans="2:3" x14ac:dyDescent="0.25">
      <c r="B363" s="26">
        <v>45649</v>
      </c>
      <c r="C363" s="27">
        <v>509.95</v>
      </c>
    </row>
    <row r="364" spans="2:3" x14ac:dyDescent="0.25">
      <c r="B364" s="26">
        <v>45650</v>
      </c>
      <c r="C364" s="27">
        <v>509.57</v>
      </c>
    </row>
    <row r="365" spans="2:3" x14ac:dyDescent="0.25">
      <c r="B365" s="26">
        <v>45651</v>
      </c>
      <c r="C365" s="27">
        <v>510.05</v>
      </c>
    </row>
    <row r="366" spans="2:3" x14ac:dyDescent="0.25">
      <c r="B366" s="26">
        <v>45652</v>
      </c>
      <c r="C366" s="27">
        <v>510.05</v>
      </c>
    </row>
    <row r="367" spans="2:3" x14ac:dyDescent="0.25">
      <c r="B367" s="26">
        <v>45653</v>
      </c>
      <c r="C367" s="27">
        <v>511.9</v>
      </c>
    </row>
    <row r="368" spans="2:3" x14ac:dyDescent="0.25">
      <c r="B368" s="26">
        <v>45654</v>
      </c>
      <c r="C368" s="27">
        <v>512.75</v>
      </c>
    </row>
    <row r="369" spans="2:3" x14ac:dyDescent="0.25">
      <c r="B369" s="26">
        <v>45655</v>
      </c>
      <c r="C369" s="27">
        <v>512.75</v>
      </c>
    </row>
    <row r="370" spans="2:3" x14ac:dyDescent="0.25">
      <c r="B370" s="26">
        <v>45656</v>
      </c>
      <c r="C370" s="27">
        <v>512.75</v>
      </c>
    </row>
    <row r="371" spans="2:3" x14ac:dyDescent="0.25">
      <c r="B371" s="26">
        <v>45657</v>
      </c>
      <c r="C371" s="27">
        <v>512.73</v>
      </c>
    </row>
    <row r="372" spans="2:3" x14ac:dyDescent="0.25">
      <c r="B372" s="26">
        <v>45658</v>
      </c>
      <c r="C372" s="27">
        <v>512.73</v>
      </c>
    </row>
    <row r="373" spans="2:3" x14ac:dyDescent="0.25">
      <c r="B373" s="26">
        <v>45659</v>
      </c>
      <c r="C373" s="27">
        <v>512.73</v>
      </c>
    </row>
    <row r="374" spans="2:3" x14ac:dyDescent="0.25">
      <c r="B374" s="26">
        <v>45660</v>
      </c>
      <c r="C374" s="27">
        <v>513.23</v>
      </c>
    </row>
    <row r="375" spans="2:3" x14ac:dyDescent="0.25">
      <c r="B375" s="26">
        <v>45661</v>
      </c>
      <c r="C375" s="27">
        <v>511.93</v>
      </c>
    </row>
    <row r="376" spans="2:3" x14ac:dyDescent="0.25">
      <c r="B376" s="26">
        <v>45662</v>
      </c>
      <c r="C376" s="27">
        <v>511.93</v>
      </c>
    </row>
    <row r="377" spans="2:3" x14ac:dyDescent="0.25">
      <c r="B377" s="26">
        <v>45663</v>
      </c>
      <c r="C377" s="27">
        <v>511.93</v>
      </c>
    </row>
    <row r="378" spans="2:3" x14ac:dyDescent="0.25">
      <c r="B378" s="26">
        <v>45664</v>
      </c>
      <c r="C378" s="27">
        <v>510.95</v>
      </c>
    </row>
    <row r="379" spans="2:3" x14ac:dyDescent="0.25">
      <c r="B379" s="26">
        <v>45665</v>
      </c>
      <c r="C379" s="27">
        <v>509.63</v>
      </c>
    </row>
    <row r="380" spans="2:3" x14ac:dyDescent="0.25">
      <c r="B380" s="26">
        <v>45666</v>
      </c>
      <c r="C380" s="27">
        <v>508.45</v>
      </c>
    </row>
    <row r="381" spans="2:3" x14ac:dyDescent="0.25">
      <c r="B381" s="26">
        <v>45667</v>
      </c>
      <c r="C381" s="27">
        <v>507.37</v>
      </c>
    </row>
    <row r="382" spans="2:3" x14ac:dyDescent="0.25">
      <c r="B382" s="26">
        <v>45668</v>
      </c>
      <c r="C382" s="27">
        <v>507.18</v>
      </c>
    </row>
    <row r="383" spans="2:3" x14ac:dyDescent="0.25">
      <c r="B383" s="26">
        <v>45669</v>
      </c>
      <c r="C383" s="27">
        <v>507.18</v>
      </c>
    </row>
    <row r="384" spans="2:3" x14ac:dyDescent="0.25">
      <c r="B384" s="26">
        <v>45670</v>
      </c>
      <c r="C384" s="27">
        <v>507.18</v>
      </c>
    </row>
    <row r="385" spans="2:3" x14ac:dyDescent="0.25">
      <c r="B385" s="26">
        <v>45671</v>
      </c>
      <c r="C385" s="27">
        <v>506.96</v>
      </c>
    </row>
    <row r="386" spans="2:3" x14ac:dyDescent="0.25">
      <c r="B386" s="26">
        <v>45672</v>
      </c>
      <c r="C386" s="27">
        <v>505</v>
      </c>
    </row>
    <row r="387" spans="2:3" x14ac:dyDescent="0.25">
      <c r="B387" s="26">
        <v>45673</v>
      </c>
      <c r="C387" s="27">
        <v>504.27</v>
      </c>
    </row>
    <row r="388" spans="2:3" x14ac:dyDescent="0.25">
      <c r="B388" s="26">
        <v>45674</v>
      </c>
      <c r="C388" s="27">
        <v>505.52</v>
      </c>
    </row>
    <row r="389" spans="2:3" x14ac:dyDescent="0.25">
      <c r="B389" s="26">
        <v>45675</v>
      </c>
      <c r="C389" s="27">
        <v>506.23</v>
      </c>
    </row>
    <row r="390" spans="2:3" x14ac:dyDescent="0.25">
      <c r="B390" s="26">
        <v>45676</v>
      </c>
      <c r="C390" s="27">
        <v>506.23</v>
      </c>
    </row>
    <row r="391" spans="2:3" x14ac:dyDescent="0.25">
      <c r="B391" s="26">
        <v>45677</v>
      </c>
      <c r="C391" s="27">
        <v>506.23</v>
      </c>
    </row>
    <row r="392" spans="2:3" x14ac:dyDescent="0.25">
      <c r="B392" s="26">
        <v>45678</v>
      </c>
      <c r="C392" s="27">
        <v>506.58</v>
      </c>
    </row>
    <row r="393" spans="2:3" x14ac:dyDescent="0.25">
      <c r="B393" s="26">
        <v>45679</v>
      </c>
      <c r="C393" s="27">
        <v>506.87</v>
      </c>
    </row>
    <row r="394" spans="2:3" x14ac:dyDescent="0.25">
      <c r="B394" s="26">
        <v>45680</v>
      </c>
      <c r="C394" s="27">
        <v>507.25</v>
      </c>
    </row>
    <row r="395" spans="2:3" x14ac:dyDescent="0.25">
      <c r="B395" s="26">
        <v>45681</v>
      </c>
      <c r="C395" s="27">
        <v>507.52</v>
      </c>
    </row>
    <row r="396" spans="2:3" x14ac:dyDescent="0.25">
      <c r="B396" s="26">
        <v>45682</v>
      </c>
      <c r="C396" s="27">
        <v>509.42</v>
      </c>
    </row>
    <row r="397" spans="2:3" x14ac:dyDescent="0.25">
      <c r="B397" s="26">
        <v>45683</v>
      </c>
      <c r="C397" s="27">
        <v>509.42</v>
      </c>
    </row>
    <row r="398" spans="2:3" x14ac:dyDescent="0.25">
      <c r="B398" s="26">
        <v>45684</v>
      </c>
      <c r="C398" s="27">
        <v>509.42</v>
      </c>
    </row>
    <row r="399" spans="2:3" x14ac:dyDescent="0.25">
      <c r="B399" s="26">
        <v>45685</v>
      </c>
      <c r="C399" s="27">
        <v>510.37</v>
      </c>
    </row>
    <row r="400" spans="2:3" x14ac:dyDescent="0.25">
      <c r="B400" s="26">
        <v>45686</v>
      </c>
      <c r="C400" s="27">
        <v>509.26</v>
      </c>
    </row>
    <row r="401" spans="2:3" x14ac:dyDescent="0.25">
      <c r="B401" s="26">
        <v>45687</v>
      </c>
      <c r="C401" s="27">
        <v>509.28</v>
      </c>
    </row>
    <row r="402" spans="2:3" x14ac:dyDescent="0.25">
      <c r="B402" s="26">
        <v>45688</v>
      </c>
      <c r="C402" s="27">
        <v>510.66</v>
      </c>
    </row>
    <row r="403" spans="2:3" x14ac:dyDescent="0.25">
      <c r="B403" s="26">
        <v>45689</v>
      </c>
      <c r="C403" s="27">
        <v>511.38</v>
      </c>
    </row>
    <row r="404" spans="2:3" x14ac:dyDescent="0.25">
      <c r="B404" s="26">
        <v>45690</v>
      </c>
      <c r="C404" s="27">
        <v>511.38</v>
      </c>
    </row>
    <row r="405" spans="2:3" x14ac:dyDescent="0.25">
      <c r="B405" s="26">
        <v>45691</v>
      </c>
      <c r="C405" s="27">
        <v>511.38</v>
      </c>
    </row>
    <row r="406" spans="2:3" x14ac:dyDescent="0.25">
      <c r="B406" s="26">
        <v>45692</v>
      </c>
      <c r="C406" s="27">
        <v>510.99</v>
      </c>
    </row>
    <row r="407" spans="2:3" x14ac:dyDescent="0.25">
      <c r="B407" s="26">
        <v>45693</v>
      </c>
      <c r="C407" s="27">
        <v>511.14</v>
      </c>
    </row>
    <row r="408" spans="2:3" x14ac:dyDescent="0.25">
      <c r="B408" s="26">
        <v>45694</v>
      </c>
      <c r="C408" s="27">
        <v>511.48</v>
      </c>
    </row>
    <row r="409" spans="2:3" x14ac:dyDescent="0.25">
      <c r="B409" s="26">
        <v>45695</v>
      </c>
      <c r="C409" s="27">
        <v>511.34</v>
      </c>
    </row>
    <row r="410" spans="2:3" x14ac:dyDescent="0.25">
      <c r="B410" s="26">
        <v>45696</v>
      </c>
      <c r="C410" s="27">
        <v>511.67</v>
      </c>
    </row>
    <row r="411" spans="2:3" x14ac:dyDescent="0.25">
      <c r="B411" s="26">
        <v>45697</v>
      </c>
      <c r="C411" s="27">
        <v>511.67</v>
      </c>
    </row>
    <row r="412" spans="2:3" x14ac:dyDescent="0.25">
      <c r="B412" s="26">
        <v>45698</v>
      </c>
      <c r="C412" s="27">
        <v>511.67</v>
      </c>
    </row>
    <row r="413" spans="2:3" x14ac:dyDescent="0.25">
      <c r="B413" s="26">
        <v>45699</v>
      </c>
      <c r="C413" s="27">
        <v>510.76</v>
      </c>
    </row>
    <row r="414" spans="2:3" x14ac:dyDescent="0.25">
      <c r="B414" s="26">
        <v>45700</v>
      </c>
      <c r="C414" s="27">
        <v>510.14</v>
      </c>
    </row>
    <row r="415" spans="2:3" x14ac:dyDescent="0.25">
      <c r="B415" s="26">
        <v>45701</v>
      </c>
      <c r="C415" s="27">
        <v>509.92</v>
      </c>
    </row>
    <row r="416" spans="2:3" x14ac:dyDescent="0.25">
      <c r="B416" s="26">
        <v>45702</v>
      </c>
      <c r="C416" s="27">
        <v>508.98</v>
      </c>
    </row>
    <row r="417" spans="2:3" x14ac:dyDescent="0.25">
      <c r="B417" s="26">
        <v>45703</v>
      </c>
      <c r="C417" s="27">
        <v>509.5</v>
      </c>
    </row>
    <row r="418" spans="2:3" x14ac:dyDescent="0.25">
      <c r="B418" s="26">
        <v>45704</v>
      </c>
      <c r="C418" s="27">
        <v>509.5</v>
      </c>
    </row>
    <row r="419" spans="2:3" x14ac:dyDescent="0.25">
      <c r="B419" s="26">
        <v>45705</v>
      </c>
      <c r="C419" s="27">
        <v>509.5</v>
      </c>
    </row>
    <row r="420" spans="2:3" x14ac:dyDescent="0.25">
      <c r="B420" s="26">
        <v>45706</v>
      </c>
      <c r="C420" s="27">
        <v>508.18</v>
      </c>
    </row>
    <row r="421" spans="2:3" x14ac:dyDescent="0.25">
      <c r="B421" s="26">
        <v>45707</v>
      </c>
      <c r="C421" s="27">
        <v>508.54</v>
      </c>
    </row>
    <row r="422" spans="2:3" x14ac:dyDescent="0.25">
      <c r="B422" s="26">
        <v>45708</v>
      </c>
      <c r="C422" s="27">
        <v>507.83</v>
      </c>
    </row>
    <row r="423" spans="2:3" x14ac:dyDescent="0.25">
      <c r="B423" s="26">
        <v>45709</v>
      </c>
      <c r="C423" s="27">
        <v>508.61</v>
      </c>
    </row>
    <row r="424" spans="2:3" x14ac:dyDescent="0.25">
      <c r="B424" s="26">
        <v>45710</v>
      </c>
      <c r="C424" s="27">
        <v>508.9</v>
      </c>
    </row>
    <row r="425" spans="2:3" x14ac:dyDescent="0.25">
      <c r="B425" s="26">
        <v>45711</v>
      </c>
      <c r="C425" s="27">
        <v>508.9</v>
      </c>
    </row>
    <row r="426" spans="2:3" x14ac:dyDescent="0.25">
      <c r="B426" s="26">
        <v>45712</v>
      </c>
      <c r="C426" s="27">
        <v>508.9</v>
      </c>
    </row>
    <row r="427" spans="2:3" x14ac:dyDescent="0.25">
      <c r="B427" s="26">
        <v>45713</v>
      </c>
      <c r="C427" s="27">
        <v>508.42</v>
      </c>
    </row>
    <row r="428" spans="2:3" x14ac:dyDescent="0.25">
      <c r="B428" s="26">
        <v>45714</v>
      </c>
      <c r="C428" s="27">
        <v>509.18</v>
      </c>
    </row>
    <row r="429" spans="2:3" x14ac:dyDescent="0.25">
      <c r="B429" s="26">
        <v>45715</v>
      </c>
      <c r="C429" s="27">
        <v>509.28</v>
      </c>
    </row>
    <row r="430" spans="2:3" x14ac:dyDescent="0.25">
      <c r="B430" s="26">
        <v>45716</v>
      </c>
      <c r="C430" s="27">
        <v>508.72</v>
      </c>
    </row>
    <row r="431" spans="2:3" x14ac:dyDescent="0.25">
      <c r="B431" s="26">
        <v>45717</v>
      </c>
      <c r="C431" s="27">
        <v>508.15</v>
      </c>
    </row>
    <row r="432" spans="2:3" x14ac:dyDescent="0.25">
      <c r="B432" s="26">
        <v>45718</v>
      </c>
      <c r="C432" s="27">
        <v>508.15</v>
      </c>
    </row>
    <row r="433" spans="2:3" x14ac:dyDescent="0.25">
      <c r="B433" s="26">
        <v>45719</v>
      </c>
      <c r="C433" s="27">
        <v>508.15</v>
      </c>
    </row>
    <row r="434" spans="2:3" x14ac:dyDescent="0.25">
      <c r="B434" s="26">
        <v>45720</v>
      </c>
      <c r="C434" s="27">
        <v>506.27</v>
      </c>
    </row>
    <row r="435" spans="2:3" x14ac:dyDescent="0.25">
      <c r="B435" s="26">
        <v>45721</v>
      </c>
      <c r="C435" s="27">
        <v>507.54</v>
      </c>
    </row>
    <row r="436" spans="2:3" x14ac:dyDescent="0.25">
      <c r="B436" s="26">
        <v>45722</v>
      </c>
      <c r="C436" s="27">
        <v>508.52</v>
      </c>
    </row>
    <row r="437" spans="2:3" x14ac:dyDescent="0.25">
      <c r="B437" s="26">
        <v>45723</v>
      </c>
      <c r="C437" s="27">
        <v>507.42</v>
      </c>
    </row>
    <row r="438" spans="2:3" x14ac:dyDescent="0.25">
      <c r="B438" s="26">
        <v>45724</v>
      </c>
      <c r="C438" s="27">
        <v>508.44</v>
      </c>
    </row>
    <row r="439" spans="2:3" x14ac:dyDescent="0.25">
      <c r="B439" s="26">
        <v>45725</v>
      </c>
      <c r="C439" s="27">
        <v>508.44</v>
      </c>
    </row>
    <row r="440" spans="2:3" x14ac:dyDescent="0.25">
      <c r="B440" s="26">
        <v>45726</v>
      </c>
      <c r="C440" s="27">
        <v>508.44</v>
      </c>
    </row>
    <row r="441" spans="2:3" x14ac:dyDescent="0.25">
      <c r="B441" s="26">
        <v>45727</v>
      </c>
      <c r="C441" s="27">
        <v>506.04</v>
      </c>
    </row>
    <row r="442" spans="2:3" x14ac:dyDescent="0.25">
      <c r="B442" s="26">
        <v>45728</v>
      </c>
      <c r="C442" s="27">
        <v>503.71</v>
      </c>
    </row>
    <row r="443" spans="2:3" x14ac:dyDescent="0.25">
      <c r="B443" s="26">
        <v>45729</v>
      </c>
      <c r="C443" s="27">
        <v>502.55</v>
      </c>
    </row>
    <row r="444" spans="2:3" x14ac:dyDescent="0.25">
      <c r="B444" s="26">
        <v>45730</v>
      </c>
      <c r="C444" s="27">
        <v>502.07</v>
      </c>
    </row>
    <row r="445" spans="2:3" x14ac:dyDescent="0.25">
      <c r="B445" s="26">
        <v>45731</v>
      </c>
      <c r="C445" s="27">
        <v>501.96</v>
      </c>
    </row>
    <row r="446" spans="2:3" x14ac:dyDescent="0.25">
      <c r="B446" s="26">
        <v>45732</v>
      </c>
      <c r="C446" s="27">
        <v>501.96</v>
      </c>
    </row>
    <row r="447" spans="2:3" x14ac:dyDescent="0.25">
      <c r="B447" s="26">
        <v>45733</v>
      </c>
      <c r="C447" s="27">
        <v>501.96</v>
      </c>
    </row>
    <row r="448" spans="2:3" x14ac:dyDescent="0.25">
      <c r="B448" s="26">
        <v>45734</v>
      </c>
      <c r="C448" s="27">
        <v>501.6</v>
      </c>
    </row>
    <row r="449" spans="2:3" x14ac:dyDescent="0.25">
      <c r="B449" s="26">
        <v>45735</v>
      </c>
      <c r="C449" s="27">
        <v>501.68</v>
      </c>
    </row>
    <row r="450" spans="2:3" x14ac:dyDescent="0.25">
      <c r="B450" s="26">
        <v>45736</v>
      </c>
      <c r="C450" s="27">
        <v>501.74</v>
      </c>
    </row>
    <row r="451" spans="2:3" x14ac:dyDescent="0.25">
      <c r="B451" s="26">
        <v>45737</v>
      </c>
      <c r="C451" s="27">
        <v>503.04</v>
      </c>
    </row>
    <row r="452" spans="2:3" x14ac:dyDescent="0.25">
      <c r="B452" s="26">
        <v>45738</v>
      </c>
      <c r="C452" s="27">
        <v>502.76</v>
      </c>
    </row>
    <row r="453" spans="2:3" x14ac:dyDescent="0.25">
      <c r="B453" s="26">
        <v>45739</v>
      </c>
      <c r="C453" s="27">
        <v>502.76</v>
      </c>
    </row>
    <row r="454" spans="2:3" x14ac:dyDescent="0.25">
      <c r="B454" s="26">
        <v>45740</v>
      </c>
      <c r="C454" s="27">
        <v>502.76</v>
      </c>
    </row>
    <row r="455" spans="2:3" x14ac:dyDescent="0.25">
      <c r="B455" s="26">
        <v>45741</v>
      </c>
      <c r="C455" s="27">
        <v>501.79</v>
      </c>
    </row>
    <row r="456" spans="2:3" x14ac:dyDescent="0.25">
      <c r="B456" s="26">
        <v>45742</v>
      </c>
      <c r="C456" s="27">
        <v>501.15</v>
      </c>
    </row>
    <row r="457" spans="2:3" x14ac:dyDescent="0.25">
      <c r="B457" s="26">
        <v>45743</v>
      </c>
      <c r="C457" s="27">
        <v>501.88</v>
      </c>
    </row>
    <row r="458" spans="2:3" x14ac:dyDescent="0.25">
      <c r="B458" s="26">
        <v>45744</v>
      </c>
      <c r="C458" s="27">
        <v>502.95</v>
      </c>
    </row>
    <row r="459" spans="2:3" x14ac:dyDescent="0.25">
      <c r="B459" s="26">
        <v>45745</v>
      </c>
      <c r="C459" s="27">
        <v>504.21</v>
      </c>
    </row>
    <row r="460" spans="2:3" x14ac:dyDescent="0.25">
      <c r="B460" s="26">
        <v>45746</v>
      </c>
      <c r="C460" s="27">
        <v>504.21</v>
      </c>
    </row>
    <row r="461" spans="2:3" x14ac:dyDescent="0.25">
      <c r="B461" s="26">
        <v>45747</v>
      </c>
      <c r="C461" s="27">
        <v>504.21</v>
      </c>
    </row>
    <row r="462" spans="2:3" x14ac:dyDescent="0.25">
      <c r="B462" s="26">
        <v>45748</v>
      </c>
      <c r="C462" s="27">
        <v>504.07</v>
      </c>
    </row>
    <row r="463" spans="2:3" x14ac:dyDescent="0.25">
      <c r="B463" s="26">
        <v>45749</v>
      </c>
      <c r="C463" s="27">
        <v>505.82</v>
      </c>
    </row>
    <row r="464" spans="2:3" x14ac:dyDescent="0.25">
      <c r="B464" s="26">
        <v>45750</v>
      </c>
      <c r="C464" s="27">
        <v>506.3</v>
      </c>
    </row>
    <row r="465" spans="2:3" x14ac:dyDescent="0.25">
      <c r="B465" s="26">
        <v>45751</v>
      </c>
      <c r="C465" s="27">
        <v>508.27</v>
      </c>
    </row>
    <row r="466" spans="2:3" x14ac:dyDescent="0.25">
      <c r="B466" s="26">
        <v>45752</v>
      </c>
      <c r="C466" s="27">
        <v>510.91</v>
      </c>
    </row>
    <row r="467" spans="2:3" x14ac:dyDescent="0.25">
      <c r="B467" s="26">
        <v>45753</v>
      </c>
      <c r="C467" s="27">
        <v>510.91</v>
      </c>
    </row>
    <row r="468" spans="2:3" x14ac:dyDescent="0.25">
      <c r="B468" s="26">
        <v>45754</v>
      </c>
      <c r="C468" s="27">
        <v>510.91</v>
      </c>
    </row>
    <row r="469" spans="2:3" x14ac:dyDescent="0.25">
      <c r="B469" s="26">
        <v>45755</v>
      </c>
      <c r="C469" s="27">
        <v>511.19</v>
      </c>
    </row>
    <row r="470" spans="2:3" x14ac:dyDescent="0.25">
      <c r="B470" s="26">
        <v>45756</v>
      </c>
      <c r="C470" s="27">
        <v>512.14</v>
      </c>
    </row>
    <row r="471" spans="2:3" x14ac:dyDescent="0.25">
      <c r="B471" s="26">
        <v>45757</v>
      </c>
      <c r="C471" s="27">
        <v>512.07000000000005</v>
      </c>
    </row>
    <row r="472" spans="2:3" x14ac:dyDescent="0.25">
      <c r="B472" s="26">
        <v>45758</v>
      </c>
      <c r="C472" s="27">
        <v>510.17</v>
      </c>
    </row>
    <row r="473" spans="2:3" x14ac:dyDescent="0.25">
      <c r="B473" s="26">
        <v>45759</v>
      </c>
      <c r="C473" s="27">
        <v>510.17</v>
      </c>
    </row>
    <row r="474" spans="2:3" x14ac:dyDescent="0.25">
      <c r="B474" s="26">
        <v>45760</v>
      </c>
      <c r="C474" s="27">
        <v>510.17</v>
      </c>
    </row>
    <row r="475" spans="2:3" x14ac:dyDescent="0.25">
      <c r="B475" s="26">
        <v>45761</v>
      </c>
      <c r="C475" s="27">
        <v>510.17</v>
      </c>
    </row>
    <row r="476" spans="2:3" x14ac:dyDescent="0.25">
      <c r="B476" s="26">
        <v>45762</v>
      </c>
      <c r="C476" s="27">
        <v>508.21</v>
      </c>
    </row>
    <row r="477" spans="2:3" x14ac:dyDescent="0.25">
      <c r="B477" s="26">
        <v>45763</v>
      </c>
      <c r="C477" s="27">
        <v>506.74</v>
      </c>
    </row>
    <row r="478" spans="2:3" x14ac:dyDescent="0.25">
      <c r="B478" s="26">
        <v>45764</v>
      </c>
      <c r="C478" s="27">
        <v>506.48</v>
      </c>
    </row>
    <row r="479" spans="2:3" x14ac:dyDescent="0.25">
      <c r="B479" s="26">
        <v>45765</v>
      </c>
      <c r="C479" s="27">
        <v>506.48</v>
      </c>
    </row>
    <row r="480" spans="2:3" x14ac:dyDescent="0.25">
      <c r="B480" s="26">
        <v>45766</v>
      </c>
      <c r="C480" s="27">
        <v>506.48</v>
      </c>
    </row>
    <row r="481" spans="2:3" x14ac:dyDescent="0.25">
      <c r="B481" s="26">
        <v>45767</v>
      </c>
      <c r="C481" s="27">
        <v>506.48</v>
      </c>
    </row>
    <row r="482" spans="2:3" x14ac:dyDescent="0.25">
      <c r="B482" s="26">
        <v>45768</v>
      </c>
      <c r="C482" s="27">
        <v>506.48</v>
      </c>
    </row>
    <row r="483" spans="2:3" x14ac:dyDescent="0.25">
      <c r="B483" s="26">
        <v>45769</v>
      </c>
      <c r="C483" s="27">
        <v>505.22</v>
      </c>
    </row>
    <row r="484" spans="2:3" x14ac:dyDescent="0.25">
      <c r="B484" s="26">
        <v>45770</v>
      </c>
      <c r="C484" s="27">
        <v>505.68</v>
      </c>
    </row>
    <row r="485" spans="2:3" x14ac:dyDescent="0.25">
      <c r="B485" s="26">
        <v>45771</v>
      </c>
      <c r="C485" s="27">
        <v>507.34</v>
      </c>
    </row>
    <row r="486" spans="2:3" x14ac:dyDescent="0.25">
      <c r="B486" s="26">
        <v>45772</v>
      </c>
      <c r="C486" s="27">
        <v>508.52</v>
      </c>
    </row>
    <row r="487" spans="2:3" x14ac:dyDescent="0.25">
      <c r="B487" s="26">
        <v>45773</v>
      </c>
      <c r="C487" s="27">
        <v>508.96</v>
      </c>
    </row>
    <row r="488" spans="2:3" x14ac:dyDescent="0.25">
      <c r="B488" s="26">
        <v>45774</v>
      </c>
      <c r="C488" s="27">
        <v>508.96</v>
      </c>
    </row>
    <row r="489" spans="2:3" x14ac:dyDescent="0.25">
      <c r="B489" s="26">
        <v>45775</v>
      </c>
      <c r="C489" s="27">
        <v>508.96</v>
      </c>
    </row>
    <row r="490" spans="2:3" x14ac:dyDescent="0.25">
      <c r="B490" s="26">
        <v>45776</v>
      </c>
      <c r="C490" s="27">
        <v>508.4</v>
      </c>
    </row>
    <row r="491" spans="2:3" x14ac:dyDescent="0.25">
      <c r="B491" s="26">
        <v>45777</v>
      </c>
      <c r="C491" s="27">
        <v>508</v>
      </c>
    </row>
    <row r="492" spans="2:3" x14ac:dyDescent="0.25">
      <c r="B492" s="26">
        <v>45778</v>
      </c>
      <c r="C492" s="27">
        <v>508.67</v>
      </c>
    </row>
    <row r="493" spans="2:3" x14ac:dyDescent="0.25">
      <c r="B493" s="26">
        <v>45779</v>
      </c>
      <c r="C493" s="27">
        <v>508.67</v>
      </c>
    </row>
    <row r="494" spans="2:3" x14ac:dyDescent="0.25">
      <c r="B494" s="26">
        <v>45780</v>
      </c>
      <c r="C494" s="27">
        <v>509.57</v>
      </c>
    </row>
    <row r="495" spans="2:3" x14ac:dyDescent="0.25">
      <c r="B495" s="26">
        <v>45781</v>
      </c>
      <c r="C495" s="27">
        <v>509.57</v>
      </c>
    </row>
    <row r="496" spans="2:3" x14ac:dyDescent="0.25">
      <c r="B496" s="26">
        <v>45782</v>
      </c>
      <c r="C496" s="27">
        <v>509.57</v>
      </c>
    </row>
    <row r="497" spans="2:3" x14ac:dyDescent="0.25">
      <c r="B497" s="26">
        <v>45783</v>
      </c>
      <c r="C497" s="27">
        <v>508.82</v>
      </c>
    </row>
    <row r="498" spans="2:3" x14ac:dyDescent="0.25">
      <c r="B498" s="26">
        <v>45784</v>
      </c>
      <c r="C498" s="27">
        <v>510.43</v>
      </c>
    </row>
    <row r="499" spans="2:3" x14ac:dyDescent="0.25">
      <c r="B499" s="26">
        <v>45785</v>
      </c>
      <c r="C499" s="27">
        <v>510.86</v>
      </c>
    </row>
    <row r="500" spans="2:3" x14ac:dyDescent="0.25">
      <c r="B500" s="26">
        <v>45786</v>
      </c>
      <c r="C500" s="27">
        <v>510.6</v>
      </c>
    </row>
    <row r="501" spans="2:3" x14ac:dyDescent="0.25">
      <c r="B501" s="26">
        <v>45787</v>
      </c>
      <c r="C501" s="27">
        <v>510.76</v>
      </c>
    </row>
    <row r="502" spans="2:3" x14ac:dyDescent="0.25">
      <c r="B502" s="26">
        <v>45788</v>
      </c>
      <c r="C502" s="27">
        <v>510.76</v>
      </c>
    </row>
    <row r="503" spans="2:3" x14ac:dyDescent="0.25">
      <c r="B503" s="26">
        <v>45789</v>
      </c>
      <c r="C503" s="27">
        <v>510.76</v>
      </c>
    </row>
    <row r="504" spans="2:3" x14ac:dyDescent="0.25">
      <c r="B504" s="26">
        <v>45790</v>
      </c>
      <c r="C504" s="27">
        <v>509.64</v>
      </c>
    </row>
    <row r="505" spans="2:3" x14ac:dyDescent="0.25">
      <c r="B505" s="26">
        <v>45791</v>
      </c>
      <c r="C505" s="27">
        <v>508.35</v>
      </c>
    </row>
    <row r="506" spans="2:3" x14ac:dyDescent="0.25">
      <c r="B506" s="26">
        <v>45792</v>
      </c>
      <c r="C506" s="27">
        <v>507.48</v>
      </c>
    </row>
    <row r="507" spans="2:3" x14ac:dyDescent="0.25">
      <c r="B507" s="26">
        <v>45793</v>
      </c>
      <c r="C507" s="27">
        <v>506.43</v>
      </c>
    </row>
    <row r="508" spans="2:3" x14ac:dyDescent="0.25">
      <c r="B508" s="26">
        <v>45794</v>
      </c>
      <c r="C508" s="27">
        <v>506.41</v>
      </c>
    </row>
    <row r="509" spans="2:3" x14ac:dyDescent="0.25">
      <c r="B509" s="26">
        <v>45795</v>
      </c>
      <c r="C509" s="27">
        <v>506.41</v>
      </c>
    </row>
    <row r="510" spans="2:3" x14ac:dyDescent="0.25">
      <c r="B510" s="26">
        <v>45796</v>
      </c>
      <c r="C510" s="27">
        <v>506.41</v>
      </c>
    </row>
    <row r="511" spans="2:3" x14ac:dyDescent="0.25">
      <c r="B511" s="26">
        <v>45797</v>
      </c>
      <c r="C511" s="27">
        <v>505.96</v>
      </c>
    </row>
    <row r="512" spans="2:3" x14ac:dyDescent="0.25">
      <c r="B512" s="26">
        <v>45798</v>
      </c>
      <c r="C512" s="27">
        <v>507.18</v>
      </c>
    </row>
    <row r="513" spans="2:3" x14ac:dyDescent="0.25">
      <c r="B513" s="26">
        <v>45799</v>
      </c>
      <c r="C513" s="27">
        <v>509.05</v>
      </c>
    </row>
    <row r="514" spans="2:3" x14ac:dyDescent="0.25">
      <c r="B514" s="26">
        <v>45800</v>
      </c>
      <c r="C514" s="27">
        <v>510.58</v>
      </c>
    </row>
    <row r="515" spans="2:3" x14ac:dyDescent="0.25">
      <c r="B515" s="26">
        <v>45801</v>
      </c>
      <c r="C515" s="27">
        <v>511.06</v>
      </c>
    </row>
    <row r="516" spans="2:3" x14ac:dyDescent="0.25">
      <c r="B516" s="26">
        <v>45802</v>
      </c>
      <c r="C516" s="27">
        <v>511.06</v>
      </c>
    </row>
    <row r="517" spans="2:3" x14ac:dyDescent="0.25">
      <c r="B517" s="26">
        <v>45803</v>
      </c>
      <c r="C517" s="27">
        <v>511.06</v>
      </c>
    </row>
    <row r="518" spans="2:3" x14ac:dyDescent="0.25">
      <c r="B518" s="26">
        <v>45804</v>
      </c>
      <c r="C518" s="27">
        <v>510.92</v>
      </c>
    </row>
    <row r="519" spans="2:3" x14ac:dyDescent="0.25">
      <c r="B519" s="26">
        <v>45805</v>
      </c>
      <c r="C519" s="27">
        <v>511.07</v>
      </c>
    </row>
    <row r="520" spans="2:3" x14ac:dyDescent="0.25">
      <c r="B520" s="26">
        <v>45806</v>
      </c>
      <c r="C520" s="27">
        <v>511.22</v>
      </c>
    </row>
    <row r="521" spans="2:3" x14ac:dyDescent="0.25">
      <c r="B521" s="26">
        <v>45807</v>
      </c>
      <c r="C521" s="27">
        <v>509.9</v>
      </c>
    </row>
    <row r="522" spans="2:3" x14ac:dyDescent="0.25">
      <c r="B522" s="26">
        <v>45808</v>
      </c>
      <c r="C522" s="27">
        <v>509.94</v>
      </c>
    </row>
    <row r="523" spans="2:3" x14ac:dyDescent="0.25">
      <c r="B523" s="26">
        <v>45809</v>
      </c>
      <c r="C523" s="27">
        <v>509.94</v>
      </c>
    </row>
    <row r="524" spans="2:3" x14ac:dyDescent="0.25">
      <c r="B524" s="26">
        <v>45810</v>
      </c>
      <c r="C524" s="27">
        <v>509.94</v>
      </c>
    </row>
    <row r="525" spans="2:3" x14ac:dyDescent="0.25">
      <c r="B525" s="26">
        <v>45811</v>
      </c>
      <c r="C525" s="27">
        <v>509.33</v>
      </c>
    </row>
    <row r="526" spans="2:3" x14ac:dyDescent="0.25">
      <c r="B526" s="26">
        <v>45812</v>
      </c>
      <c r="C526" s="27">
        <v>510.67</v>
      </c>
    </row>
    <row r="527" spans="2:3" x14ac:dyDescent="0.25">
      <c r="B527" s="26">
        <v>45813</v>
      </c>
      <c r="C527" s="27">
        <v>512.02</v>
      </c>
    </row>
    <row r="528" spans="2:3" x14ac:dyDescent="0.25">
      <c r="B528" s="26">
        <v>45814</v>
      </c>
      <c r="C528" s="27">
        <v>511.84</v>
      </c>
    </row>
    <row r="529" spans="2:3" x14ac:dyDescent="0.25">
      <c r="B529" s="26">
        <v>45815</v>
      </c>
      <c r="C529" s="27">
        <v>510.68</v>
      </c>
    </row>
    <row r="530" spans="2:3" x14ac:dyDescent="0.25">
      <c r="B530" s="26">
        <v>45816</v>
      </c>
      <c r="C530" s="27">
        <v>510.68</v>
      </c>
    </row>
    <row r="531" spans="2:3" x14ac:dyDescent="0.25">
      <c r="B531" s="26">
        <v>45817</v>
      </c>
      <c r="C531" s="27">
        <v>510.68</v>
      </c>
    </row>
    <row r="532" spans="2:3" x14ac:dyDescent="0.25">
      <c r="B532" s="26">
        <v>45818</v>
      </c>
      <c r="C532" s="27">
        <v>509.32</v>
      </c>
    </row>
    <row r="533" spans="2:3" x14ac:dyDescent="0.25">
      <c r="B533" s="26">
        <v>45819</v>
      </c>
      <c r="C533" s="27">
        <v>508.46</v>
      </c>
    </row>
    <row r="534" spans="2:3" x14ac:dyDescent="0.25">
      <c r="B534" s="26">
        <v>45820</v>
      </c>
      <c r="C534" s="27">
        <v>505.81</v>
      </c>
    </row>
    <row r="535" spans="2:3" x14ac:dyDescent="0.25">
      <c r="B535" s="26">
        <v>45821</v>
      </c>
      <c r="C535" s="27">
        <v>505.64</v>
      </c>
    </row>
    <row r="536" spans="2:3" x14ac:dyDescent="0.25">
      <c r="B536" s="26">
        <v>45822</v>
      </c>
      <c r="C536" s="27">
        <v>505.28</v>
      </c>
    </row>
    <row r="537" spans="2:3" x14ac:dyDescent="0.25">
      <c r="B537" s="26">
        <v>45823</v>
      </c>
      <c r="C537" s="27">
        <v>505.28</v>
      </c>
    </row>
    <row r="538" spans="2:3" x14ac:dyDescent="0.25">
      <c r="B538" s="26">
        <v>45824</v>
      </c>
      <c r="C538" s="27">
        <v>505.28</v>
      </c>
    </row>
    <row r="539" spans="2:3" x14ac:dyDescent="0.25">
      <c r="B539" s="26">
        <v>45825</v>
      </c>
      <c r="C539" s="27">
        <v>505.4</v>
      </c>
    </row>
    <row r="540" spans="2:3" x14ac:dyDescent="0.25">
      <c r="B540" s="26">
        <v>45826</v>
      </c>
      <c r="C540" s="27">
        <v>506.27</v>
      </c>
    </row>
    <row r="541" spans="2:3" x14ac:dyDescent="0.25">
      <c r="B541" s="26">
        <v>45827</v>
      </c>
      <c r="C541" s="27">
        <v>507.95</v>
      </c>
    </row>
    <row r="542" spans="2:3" x14ac:dyDescent="0.25">
      <c r="B542" s="26">
        <v>45828</v>
      </c>
      <c r="C542" s="27">
        <v>509.2</v>
      </c>
    </row>
    <row r="543" spans="2:3" x14ac:dyDescent="0.25">
      <c r="B543" s="26">
        <v>45829</v>
      </c>
      <c r="C543" s="27">
        <v>510.37</v>
      </c>
    </row>
    <row r="544" spans="2:3" x14ac:dyDescent="0.25">
      <c r="B544" s="26">
        <v>45830</v>
      </c>
      <c r="C544" s="27">
        <v>510.37</v>
      </c>
    </row>
    <row r="545" spans="2:3" x14ac:dyDescent="0.25">
      <c r="B545" s="26">
        <v>45831</v>
      </c>
      <c r="C545" s="27">
        <v>510.37</v>
      </c>
    </row>
    <row r="546" spans="2:3" x14ac:dyDescent="0.25">
      <c r="B546" s="26">
        <v>45832</v>
      </c>
      <c r="C546" s="27">
        <v>510.35</v>
      </c>
    </row>
    <row r="547" spans="2:3" x14ac:dyDescent="0.25">
      <c r="B547" s="26">
        <v>45833</v>
      </c>
      <c r="C547" s="27">
        <v>508.2</v>
      </c>
    </row>
    <row r="548" spans="2:3" x14ac:dyDescent="0.25">
      <c r="B548" s="26">
        <v>45834</v>
      </c>
      <c r="C548" s="27">
        <v>507.19</v>
      </c>
    </row>
    <row r="549" spans="2:3" x14ac:dyDescent="0.25">
      <c r="B549" s="26">
        <v>45835</v>
      </c>
      <c r="C549" s="27">
        <v>507.73</v>
      </c>
    </row>
    <row r="550" spans="2:3" x14ac:dyDescent="0.25">
      <c r="B550" s="26">
        <v>45836</v>
      </c>
      <c r="C550" s="27">
        <v>508.28</v>
      </c>
    </row>
    <row r="551" spans="2:3" x14ac:dyDescent="0.25">
      <c r="B551" s="26">
        <v>45837</v>
      </c>
      <c r="C551" s="27">
        <v>508.28</v>
      </c>
    </row>
    <row r="552" spans="2:3" x14ac:dyDescent="0.25">
      <c r="B552" s="26">
        <v>45838</v>
      </c>
      <c r="C552" s="27">
        <v>508.28</v>
      </c>
    </row>
    <row r="553" spans="2:3" x14ac:dyDescent="0.25">
      <c r="B553" s="26">
        <v>45839</v>
      </c>
      <c r="C553" s="27">
        <v>508.85</v>
      </c>
    </row>
    <row r="554" spans="2:3" x14ac:dyDescent="0.25">
      <c r="B554" s="26">
        <v>45840</v>
      </c>
      <c r="C554" s="27">
        <v>507.92</v>
      </c>
    </row>
    <row r="555" spans="2:3" x14ac:dyDescent="0.25">
      <c r="B555" s="26">
        <v>45841</v>
      </c>
      <c r="C555" s="27">
        <v>507.6</v>
      </c>
    </row>
    <row r="556" spans="2:3" x14ac:dyDescent="0.25">
      <c r="B556" s="26">
        <v>45842</v>
      </c>
      <c r="C556" s="27">
        <v>507.31</v>
      </c>
    </row>
    <row r="557" spans="2:3" x14ac:dyDescent="0.25">
      <c r="B557" s="26">
        <v>45843</v>
      </c>
      <c r="C557" s="27">
        <v>508.24</v>
      </c>
    </row>
    <row r="558" spans="2:3" x14ac:dyDescent="0.25">
      <c r="B558" s="26">
        <v>45844</v>
      </c>
      <c r="C558" s="27">
        <v>508.24</v>
      </c>
    </row>
    <row r="559" spans="2:3" x14ac:dyDescent="0.25">
      <c r="B559" s="26">
        <v>45845</v>
      </c>
      <c r="C559" s="27">
        <v>508.24</v>
      </c>
    </row>
    <row r="560" spans="2:3" x14ac:dyDescent="0.25">
      <c r="B560" s="26">
        <v>45846</v>
      </c>
      <c r="C560" s="27">
        <v>506.68</v>
      </c>
    </row>
    <row r="561" spans="2:3" x14ac:dyDescent="0.25">
      <c r="B561" s="26">
        <v>45847</v>
      </c>
      <c r="C561" s="27">
        <v>505.82</v>
      </c>
    </row>
    <row r="562" spans="2:3" x14ac:dyDescent="0.25">
      <c r="B562" s="26">
        <v>45848</v>
      </c>
      <c r="C562" s="27">
        <v>506.64</v>
      </c>
    </row>
    <row r="563" spans="2:3" x14ac:dyDescent="0.25">
      <c r="B563" s="26">
        <v>45849</v>
      </c>
      <c r="C563" s="27">
        <v>508.03</v>
      </c>
    </row>
    <row r="564" spans="2:3" x14ac:dyDescent="0.25">
      <c r="B564" s="26">
        <v>45850</v>
      </c>
      <c r="C564" s="27">
        <v>507.22</v>
      </c>
    </row>
    <row r="565" spans="2:3" x14ac:dyDescent="0.25">
      <c r="B565" s="26">
        <v>45851</v>
      </c>
      <c r="C565" s="27">
        <v>507.22</v>
      </c>
    </row>
    <row r="566" spans="2:3" x14ac:dyDescent="0.25">
      <c r="B566" s="26">
        <v>45852</v>
      </c>
      <c r="C566" s="27">
        <v>507.22</v>
      </c>
    </row>
    <row r="567" spans="2:3" x14ac:dyDescent="0.25">
      <c r="B567" s="26">
        <v>45853</v>
      </c>
      <c r="C567" s="27">
        <v>505.78</v>
      </c>
    </row>
    <row r="568" spans="2:3" x14ac:dyDescent="0.25">
      <c r="B568" s="26">
        <v>45854</v>
      </c>
      <c r="C568" s="27">
        <v>505.22</v>
      </c>
    </row>
    <row r="569" spans="2:3" x14ac:dyDescent="0.25">
      <c r="B569" s="26">
        <v>45855</v>
      </c>
      <c r="C569" s="27">
        <v>506.27</v>
      </c>
    </row>
    <row r="570" spans="2:3" x14ac:dyDescent="0.25">
      <c r="B570" s="26">
        <v>45856</v>
      </c>
      <c r="C570" s="27">
        <v>506.17</v>
      </c>
    </row>
    <row r="571" spans="2:3" x14ac:dyDescent="0.25">
      <c r="B571" s="26">
        <v>45857</v>
      </c>
      <c r="C571" s="27">
        <v>506.08</v>
      </c>
    </row>
    <row r="572" spans="2:3" x14ac:dyDescent="0.25">
      <c r="B572" s="26">
        <v>45858</v>
      </c>
      <c r="C572" s="27">
        <v>506.08</v>
      </c>
    </row>
    <row r="573" spans="2:3" x14ac:dyDescent="0.25">
      <c r="B573" s="26">
        <v>45859</v>
      </c>
      <c r="C573" s="27">
        <v>506.08</v>
      </c>
    </row>
    <row r="574" spans="2:3" x14ac:dyDescent="0.25">
      <c r="B574" s="26">
        <v>45860</v>
      </c>
      <c r="C574" s="27">
        <v>506.11</v>
      </c>
    </row>
    <row r="575" spans="2:3" x14ac:dyDescent="0.25">
      <c r="B575" s="26">
        <v>45861</v>
      </c>
      <c r="C575" s="27">
        <v>506.4</v>
      </c>
    </row>
    <row r="576" spans="2:3" x14ac:dyDescent="0.25">
      <c r="B576" s="26">
        <v>45862</v>
      </c>
      <c r="C576" s="27">
        <v>507.83</v>
      </c>
    </row>
    <row r="577" spans="2:3" x14ac:dyDescent="0.25">
      <c r="B577" s="26">
        <v>45863</v>
      </c>
      <c r="C577" s="27">
        <v>507.78</v>
      </c>
    </row>
    <row r="578" spans="2:3" x14ac:dyDescent="0.25">
      <c r="B578" s="26">
        <v>45864</v>
      </c>
      <c r="C578" s="27">
        <v>507.78</v>
      </c>
    </row>
    <row r="579" spans="2:3" x14ac:dyDescent="0.25">
      <c r="B579" s="26">
        <v>45865</v>
      </c>
      <c r="C579" s="27">
        <v>507.78</v>
      </c>
    </row>
    <row r="580" spans="2:3" x14ac:dyDescent="0.25">
      <c r="B580" s="26">
        <v>45866</v>
      </c>
      <c r="C580" s="27">
        <v>507.78</v>
      </c>
    </row>
    <row r="581" spans="2:3" x14ac:dyDescent="0.25">
      <c r="B581" s="26">
        <v>45867</v>
      </c>
      <c r="C581" s="27">
        <v>508.75</v>
      </c>
    </row>
    <row r="582" spans="2:3" x14ac:dyDescent="0.25">
      <c r="B582" s="26">
        <v>45868</v>
      </c>
      <c r="C582" s="27">
        <v>508.81</v>
      </c>
    </row>
    <row r="583" spans="2:3" x14ac:dyDescent="0.25">
      <c r="B583" s="26">
        <v>45869</v>
      </c>
      <c r="C583" s="27">
        <v>508.35</v>
      </c>
    </row>
    <row r="584" spans="2:3" x14ac:dyDescent="0.25">
      <c r="B584" s="26">
        <v>45870</v>
      </c>
      <c r="C584" s="27">
        <v>508.57</v>
      </c>
    </row>
    <row r="585" spans="2:3" x14ac:dyDescent="0.25">
      <c r="B585" s="26">
        <v>45871</v>
      </c>
      <c r="C585" s="27">
        <v>509.73</v>
      </c>
    </row>
    <row r="586" spans="2:3" x14ac:dyDescent="0.25">
      <c r="B586" s="26">
        <v>45872</v>
      </c>
      <c r="C586" s="27">
        <v>509.73</v>
      </c>
    </row>
    <row r="587" spans="2:3" x14ac:dyDescent="0.25">
      <c r="B587" s="26">
        <v>45873</v>
      </c>
      <c r="C587" s="27">
        <v>509.73</v>
      </c>
    </row>
    <row r="588" spans="2:3" x14ac:dyDescent="0.25">
      <c r="B588" s="26">
        <v>45874</v>
      </c>
      <c r="C588" s="27">
        <v>509.03</v>
      </c>
    </row>
    <row r="589" spans="2:3" x14ac:dyDescent="0.25">
      <c r="B589" s="26">
        <v>45875</v>
      </c>
      <c r="C589" s="27">
        <v>508.86</v>
      </c>
    </row>
    <row r="590" spans="2:3" x14ac:dyDescent="0.25">
      <c r="B590" s="26">
        <v>45876</v>
      </c>
      <c r="C590" s="27">
        <v>509.54</v>
      </c>
    </row>
    <row r="591" spans="2:3" x14ac:dyDescent="0.25">
      <c r="B591" s="26">
        <v>45877</v>
      </c>
      <c r="C591" s="27">
        <v>509.47</v>
      </c>
    </row>
    <row r="592" spans="2:3" x14ac:dyDescent="0.25">
      <c r="B592" s="26">
        <v>45878</v>
      </c>
      <c r="C592" s="27">
        <v>508.87</v>
      </c>
    </row>
    <row r="593" spans="2:3" x14ac:dyDescent="0.25">
      <c r="B593" s="26">
        <v>45879</v>
      </c>
      <c r="C593" s="27">
        <v>508.87</v>
      </c>
    </row>
    <row r="594" spans="2:3" x14ac:dyDescent="0.25">
      <c r="B594" s="26">
        <v>45880</v>
      </c>
      <c r="C594" s="27">
        <v>508.87</v>
      </c>
    </row>
    <row r="595" spans="2:3" x14ac:dyDescent="0.25">
      <c r="B595" s="26">
        <v>45881</v>
      </c>
      <c r="C595" s="27">
        <v>508.07</v>
      </c>
    </row>
    <row r="596" spans="2:3" x14ac:dyDescent="0.25">
      <c r="B596" s="26">
        <v>45882</v>
      </c>
      <c r="C596" s="27">
        <v>507.49</v>
      </c>
    </row>
    <row r="597" spans="2:3" x14ac:dyDescent="0.25">
      <c r="B597" s="26">
        <v>45883</v>
      </c>
      <c r="C597" s="27">
        <v>507.08</v>
      </c>
    </row>
    <row r="598" spans="2:3" x14ac:dyDescent="0.25">
      <c r="B598" s="26">
        <v>45884</v>
      </c>
      <c r="C598" s="27">
        <v>506.21</v>
      </c>
    </row>
    <row r="599" spans="2:3" x14ac:dyDescent="0.25">
      <c r="B599" s="26">
        <v>45885</v>
      </c>
      <c r="C599" s="27">
        <v>506.21</v>
      </c>
    </row>
    <row r="600" spans="2:3" x14ac:dyDescent="0.25">
      <c r="B600" s="26">
        <v>45886</v>
      </c>
      <c r="C600" s="27">
        <v>506.21</v>
      </c>
    </row>
    <row r="601" spans="2:3" x14ac:dyDescent="0.25">
      <c r="B601" s="26">
        <v>45887</v>
      </c>
      <c r="C601" s="27">
        <v>506.21</v>
      </c>
    </row>
    <row r="602" spans="2:3" x14ac:dyDescent="0.25">
      <c r="B602" s="26">
        <v>45888</v>
      </c>
      <c r="C602" s="27">
        <v>505.9</v>
      </c>
    </row>
    <row r="603" spans="2:3" x14ac:dyDescent="0.25">
      <c r="B603" s="26">
        <v>45889</v>
      </c>
      <c r="C603" s="27">
        <v>506.88</v>
      </c>
    </row>
    <row r="604" spans="2:3" x14ac:dyDescent="0.25">
      <c r="B604" s="26">
        <v>45890</v>
      </c>
      <c r="C604" s="27">
        <v>506.47</v>
      </c>
    </row>
    <row r="605" spans="2:3" x14ac:dyDescent="0.25">
      <c r="B605" s="26">
        <v>45891</v>
      </c>
      <c r="C605" s="27">
        <v>505.01</v>
      </c>
    </row>
    <row r="606" spans="2:3" x14ac:dyDescent="0.25">
      <c r="B606" s="26">
        <v>45892</v>
      </c>
      <c r="C606" s="27">
        <v>505.72</v>
      </c>
    </row>
    <row r="607" spans="2:3" x14ac:dyDescent="0.25">
      <c r="B607" s="26">
        <v>45893</v>
      </c>
      <c r="C607" s="27">
        <v>505.72</v>
      </c>
    </row>
    <row r="608" spans="2:3" x14ac:dyDescent="0.25">
      <c r="B608" s="26">
        <v>45894</v>
      </c>
      <c r="C608" s="27">
        <v>505.72</v>
      </c>
    </row>
    <row r="609" spans="2:3" x14ac:dyDescent="0.25">
      <c r="B609" s="26">
        <v>45895</v>
      </c>
      <c r="C609" s="27">
        <v>506.84</v>
      </c>
    </row>
    <row r="610" spans="2:3" x14ac:dyDescent="0.25">
      <c r="B610" s="26">
        <v>45896</v>
      </c>
      <c r="C610" s="27">
        <v>507.88</v>
      </c>
    </row>
    <row r="611" spans="2:3" x14ac:dyDescent="0.25">
      <c r="B611" s="26">
        <v>45897</v>
      </c>
      <c r="C611" s="27">
        <v>508.18</v>
      </c>
    </row>
    <row r="612" spans="2:3" x14ac:dyDescent="0.25">
      <c r="B612" s="26">
        <v>45898</v>
      </c>
      <c r="C612" s="27">
        <v>508.23</v>
      </c>
    </row>
    <row r="613" spans="2:3" x14ac:dyDescent="0.25">
      <c r="B613" s="26">
        <v>45899</v>
      </c>
      <c r="C613" s="27">
        <v>509.25</v>
      </c>
    </row>
    <row r="614" spans="2:3" x14ac:dyDescent="0.25">
      <c r="B614" s="26">
        <v>45900</v>
      </c>
      <c r="C614" s="27">
        <v>509.25</v>
      </c>
    </row>
    <row r="615" spans="2:3" x14ac:dyDescent="0.25">
      <c r="B615" s="26">
        <v>45901</v>
      </c>
      <c r="C615" s="27">
        <v>509.25</v>
      </c>
    </row>
    <row r="616" spans="2:3" x14ac:dyDescent="0.25">
      <c r="B616" s="26">
        <v>45902</v>
      </c>
      <c r="C616" s="27">
        <v>509.04</v>
      </c>
    </row>
    <row r="617" spans="2:3" x14ac:dyDescent="0.25">
      <c r="B617" s="26">
        <v>45903</v>
      </c>
      <c r="C617" s="27">
        <v>510.27</v>
      </c>
    </row>
    <row r="618" spans="2:3" x14ac:dyDescent="0.25">
      <c r="B618" s="26">
        <v>45904</v>
      </c>
      <c r="C618" s="27">
        <v>510.01</v>
      </c>
    </row>
    <row r="619" spans="2:3" x14ac:dyDescent="0.25">
      <c r="B619" s="26">
        <v>45905</v>
      </c>
      <c r="C619" s="27">
        <v>509.85</v>
      </c>
    </row>
    <row r="620" spans="2:3" x14ac:dyDescent="0.25">
      <c r="B620" s="26">
        <v>45906</v>
      </c>
      <c r="C620" s="27">
        <v>509.6</v>
      </c>
    </row>
    <row r="621" spans="2:3" x14ac:dyDescent="0.25">
      <c r="B621" s="26">
        <v>45907</v>
      </c>
      <c r="C621" s="27">
        <v>509.6</v>
      </c>
    </row>
    <row r="622" spans="2:3" x14ac:dyDescent="0.25">
      <c r="B622" s="26">
        <v>45908</v>
      </c>
      <c r="C622" s="27">
        <v>509.6</v>
      </c>
    </row>
    <row r="623" spans="2:3" x14ac:dyDescent="0.25">
      <c r="B623" s="26">
        <v>45909</v>
      </c>
      <c r="C623" s="27">
        <v>508.7</v>
      </c>
    </row>
    <row r="624" spans="2:3" x14ac:dyDescent="0.25">
      <c r="B624" s="26">
        <v>45910</v>
      </c>
      <c r="C624" s="27">
        <v>507.03</v>
      </c>
    </row>
    <row r="625" spans="2:3" x14ac:dyDescent="0.25">
      <c r="B625" s="26">
        <v>45911</v>
      </c>
      <c r="C625" s="27">
        <v>507.47</v>
      </c>
    </row>
    <row r="626" spans="2:3" x14ac:dyDescent="0.25">
      <c r="B626" s="26">
        <v>45912</v>
      </c>
      <c r="C626" s="27">
        <v>506.6</v>
      </c>
    </row>
    <row r="627" spans="2:3" x14ac:dyDescent="0.25">
      <c r="B627" s="26">
        <v>45913</v>
      </c>
      <c r="C627" s="27">
        <v>506.98</v>
      </c>
    </row>
    <row r="628" spans="2:3" x14ac:dyDescent="0.25">
      <c r="B628" s="26">
        <v>45914</v>
      </c>
      <c r="C628" s="27">
        <v>506.98</v>
      </c>
    </row>
    <row r="629" spans="2:3" x14ac:dyDescent="0.25">
      <c r="B629" s="26">
        <v>45915</v>
      </c>
      <c r="C629" s="27">
        <v>506.98</v>
      </c>
    </row>
    <row r="630" spans="2:3" x14ac:dyDescent="0.25">
      <c r="B630" s="26">
        <v>45916</v>
      </c>
      <c r="C630" s="27">
        <v>506.98</v>
      </c>
    </row>
    <row r="631" spans="2:3" x14ac:dyDescent="0.25">
      <c r="B631" s="26">
        <v>45917</v>
      </c>
      <c r="C631" s="27">
        <v>506.53</v>
      </c>
    </row>
    <row r="632" spans="2:3" x14ac:dyDescent="0.25">
      <c r="B632" s="26">
        <v>45918</v>
      </c>
      <c r="C632" s="27">
        <v>506.26</v>
      </c>
    </row>
    <row r="633" spans="2:3" x14ac:dyDescent="0.25">
      <c r="B633" s="26">
        <v>45919</v>
      </c>
      <c r="C633" s="27">
        <v>506.21</v>
      </c>
    </row>
    <row r="634" spans="2:3" x14ac:dyDescent="0.25">
      <c r="B634" s="26">
        <v>45920</v>
      </c>
      <c r="C634" s="27">
        <v>506.52</v>
      </c>
    </row>
    <row r="635" spans="2:3" x14ac:dyDescent="0.25">
      <c r="B635" s="26">
        <v>45921</v>
      </c>
      <c r="C635" s="27">
        <v>506.52</v>
      </c>
    </row>
    <row r="636" spans="2:3" x14ac:dyDescent="0.25">
      <c r="B636" s="26">
        <v>45922</v>
      </c>
      <c r="C636" s="27">
        <v>506.52</v>
      </c>
    </row>
    <row r="637" spans="2:3" x14ac:dyDescent="0.25">
      <c r="B637" s="26">
        <v>45923</v>
      </c>
      <c r="C637" s="27">
        <v>506.39</v>
      </c>
    </row>
    <row r="638" spans="2:3" x14ac:dyDescent="0.25">
      <c r="B638" s="26">
        <v>45924</v>
      </c>
      <c r="C638" s="27">
        <v>506.42</v>
      </c>
    </row>
    <row r="639" spans="2:3" x14ac:dyDescent="0.25">
      <c r="B639" s="26">
        <v>45925</v>
      </c>
      <c r="C639" s="27">
        <v>507.52</v>
      </c>
    </row>
    <row r="640" spans="2:3" x14ac:dyDescent="0.25">
      <c r="B640" s="26">
        <v>45926</v>
      </c>
      <c r="C640" s="27">
        <v>506.38</v>
      </c>
    </row>
    <row r="641" spans="2:3" x14ac:dyDescent="0.25">
      <c r="B641" s="26">
        <v>45927</v>
      </c>
      <c r="C641" s="27">
        <v>506.33</v>
      </c>
    </row>
    <row r="642" spans="2:3" x14ac:dyDescent="0.25">
      <c r="B642" s="26">
        <v>45928</v>
      </c>
      <c r="C642" s="27">
        <v>506.33</v>
      </c>
    </row>
    <row r="643" spans="2:3" x14ac:dyDescent="0.25">
      <c r="B643" s="26">
        <v>45929</v>
      </c>
      <c r="C643" s="27">
        <v>506.33</v>
      </c>
    </row>
    <row r="644" spans="2:3" x14ac:dyDescent="0.25">
      <c r="B644" s="26">
        <v>45930</v>
      </c>
      <c r="C644" s="27">
        <v>506</v>
      </c>
    </row>
    <row r="645" spans="2:3" x14ac:dyDescent="0.25">
      <c r="B645" s="26">
        <v>45931</v>
      </c>
      <c r="C645" s="27">
        <v>506.87</v>
      </c>
    </row>
    <row r="646" spans="2:3" x14ac:dyDescent="0.25">
      <c r="B646" s="26">
        <v>45932</v>
      </c>
      <c r="C646" s="27">
        <v>506.56</v>
      </c>
    </row>
    <row r="647" spans="2:3" x14ac:dyDescent="0.25">
      <c r="B647" s="26">
        <v>45933</v>
      </c>
      <c r="C647" s="27">
        <v>507.65</v>
      </c>
    </row>
    <row r="648" spans="2:3" x14ac:dyDescent="0.25">
      <c r="B648" s="26">
        <v>45934</v>
      </c>
      <c r="C648" s="27">
        <v>507.98</v>
      </c>
    </row>
    <row r="649" spans="2:3" x14ac:dyDescent="0.25">
      <c r="B649" s="26">
        <v>45935</v>
      </c>
      <c r="C649" s="27">
        <v>507.98</v>
      </c>
    </row>
    <row r="650" spans="2:3" x14ac:dyDescent="0.25">
      <c r="B650" s="26">
        <v>45936</v>
      </c>
      <c r="C650" s="27">
        <v>507.98</v>
      </c>
    </row>
    <row r="651" spans="2:3" x14ac:dyDescent="0.25">
      <c r="B651" s="26">
        <v>45937</v>
      </c>
      <c r="C651" s="27">
        <v>508.22</v>
      </c>
    </row>
    <row r="652" spans="2:3" x14ac:dyDescent="0.25">
      <c r="B652" s="26">
        <v>45938</v>
      </c>
      <c r="C652" s="27">
        <v>508.46</v>
      </c>
    </row>
    <row r="653" spans="2:3" x14ac:dyDescent="0.25">
      <c r="B653" s="26">
        <v>45939</v>
      </c>
      <c r="C653" s="27">
        <v>506.84</v>
      </c>
    </row>
    <row r="654" spans="2:3" x14ac:dyDescent="0.25">
      <c r="B654" s="26">
        <v>45940</v>
      </c>
      <c r="C654" s="27">
        <v>506.35</v>
      </c>
    </row>
    <row r="655" spans="2:3" x14ac:dyDescent="0.25">
      <c r="B655" s="26">
        <v>45941</v>
      </c>
      <c r="C655" s="27">
        <v>506.99</v>
      </c>
    </row>
    <row r="656" spans="2:3" x14ac:dyDescent="0.25">
      <c r="B656" s="26">
        <v>45942</v>
      </c>
      <c r="C656" s="27">
        <v>506.99</v>
      </c>
    </row>
    <row r="657" spans="2:3" x14ac:dyDescent="0.25">
      <c r="B657" s="26">
        <v>45943</v>
      </c>
      <c r="C657" s="27">
        <v>506.99</v>
      </c>
    </row>
    <row r="658" spans="2:3" x14ac:dyDescent="0.25">
      <c r="B658" s="26">
        <v>45944</v>
      </c>
      <c r="C658" s="27">
        <v>507.31</v>
      </c>
    </row>
    <row r="659" spans="2:3" x14ac:dyDescent="0.25">
      <c r="B659" s="26">
        <v>45945</v>
      </c>
      <c r="C659" s="27">
        <v>505.55</v>
      </c>
    </row>
    <row r="660" spans="2:3" x14ac:dyDescent="0.25">
      <c r="B660" s="26">
        <v>45946</v>
      </c>
      <c r="C660" s="27">
        <v>504.9</v>
      </c>
    </row>
    <row r="661" spans="2:3" x14ac:dyDescent="0.25">
      <c r="B661" s="26">
        <v>45947</v>
      </c>
      <c r="C661" s="27">
        <v>504.84</v>
      </c>
    </row>
    <row r="662" spans="2:3" x14ac:dyDescent="0.25">
      <c r="B662" s="26">
        <v>45948</v>
      </c>
      <c r="C662" s="27">
        <v>504.94</v>
      </c>
    </row>
    <row r="663" spans="2:3" x14ac:dyDescent="0.25">
      <c r="B663" s="26">
        <v>45949</v>
      </c>
      <c r="C663" s="27">
        <v>504.94</v>
      </c>
    </row>
    <row r="664" spans="2:3" x14ac:dyDescent="0.25">
      <c r="B664" s="26">
        <v>45950</v>
      </c>
      <c r="C664" s="27">
        <v>504.94</v>
      </c>
    </row>
    <row r="665" spans="2:3" x14ac:dyDescent="0.25">
      <c r="B665" s="26">
        <v>45951</v>
      </c>
      <c r="C665" s="27">
        <v>505.3</v>
      </c>
    </row>
    <row r="666" spans="2:3" x14ac:dyDescent="0.25">
      <c r="B666" s="26">
        <v>45952</v>
      </c>
      <c r="C666" s="27">
        <v>505.94</v>
      </c>
    </row>
    <row r="667" spans="2:3" x14ac:dyDescent="0.25">
      <c r="B667" s="26">
        <v>45953</v>
      </c>
      <c r="C667" s="27">
        <v>506.5</v>
      </c>
    </row>
    <row r="668" spans="2:3" x14ac:dyDescent="0.25">
      <c r="B668" s="26">
        <v>45954</v>
      </c>
      <c r="C668" s="27">
        <v>504.96</v>
      </c>
    </row>
    <row r="669" spans="2:3" x14ac:dyDescent="0.25">
      <c r="B669" s="26">
        <v>45955</v>
      </c>
      <c r="C669" s="27">
        <v>504.06</v>
      </c>
    </row>
    <row r="670" spans="2:3" x14ac:dyDescent="0.25">
      <c r="B670" s="26">
        <v>45956</v>
      </c>
      <c r="C670" s="27">
        <v>504.06</v>
      </c>
    </row>
    <row r="671" spans="2:3" x14ac:dyDescent="0.25">
      <c r="B671" s="26">
        <v>45957</v>
      </c>
      <c r="C671" s="27">
        <v>504.06</v>
      </c>
    </row>
    <row r="672" spans="2:3" x14ac:dyDescent="0.25">
      <c r="B672" s="26">
        <v>45958</v>
      </c>
      <c r="C672" s="27">
        <v>503.85</v>
      </c>
    </row>
    <row r="673" spans="2:3" x14ac:dyDescent="0.25">
      <c r="B673" s="26">
        <v>45959</v>
      </c>
      <c r="C673" s="27">
        <v>504.58</v>
      </c>
    </row>
    <row r="674" spans="2:3" x14ac:dyDescent="0.25">
      <c r="B674" s="26">
        <v>45960</v>
      </c>
      <c r="C674" s="27">
        <v>505.03</v>
      </c>
    </row>
    <row r="675" spans="2:3" x14ac:dyDescent="0.25">
      <c r="B675" s="26">
        <v>45961</v>
      </c>
      <c r="C675" s="27">
        <v>504.44</v>
      </c>
    </row>
    <row r="676" spans="2:3" x14ac:dyDescent="0.25">
      <c r="B676" s="26">
        <v>45962</v>
      </c>
      <c r="C676" s="27">
        <v>504.73</v>
      </c>
    </row>
    <row r="677" spans="2:3" x14ac:dyDescent="0.25">
      <c r="B677" s="26">
        <v>45963</v>
      </c>
      <c r="C677" s="27">
        <v>504.73</v>
      </c>
    </row>
    <row r="678" spans="2:3" x14ac:dyDescent="0.25">
      <c r="B678" s="26">
        <v>45964</v>
      </c>
      <c r="C678" s="27">
        <v>504.73</v>
      </c>
    </row>
    <row r="679" spans="2:3" x14ac:dyDescent="0.25">
      <c r="B679" s="26">
        <v>45965</v>
      </c>
      <c r="C679" s="27">
        <v>504.69</v>
      </c>
    </row>
    <row r="680" spans="2:3" x14ac:dyDescent="0.25">
      <c r="B680" s="26">
        <v>45966</v>
      </c>
      <c r="C680" s="27">
        <v>505.44</v>
      </c>
    </row>
    <row r="681" spans="2:3" x14ac:dyDescent="0.25">
      <c r="B681" s="26">
        <v>45967</v>
      </c>
      <c r="C681" s="27">
        <v>505.87</v>
      </c>
    </row>
    <row r="682" spans="2:3" x14ac:dyDescent="0.25">
      <c r="B682" s="26">
        <v>45968</v>
      </c>
      <c r="C682" s="27">
        <v>506.38</v>
      </c>
    </row>
    <row r="683" spans="2:3" x14ac:dyDescent="0.25">
      <c r="B683" s="26">
        <v>45969</v>
      </c>
      <c r="C683" s="27">
        <v>505.46</v>
      </c>
    </row>
    <row r="684" spans="2:3" x14ac:dyDescent="0.25">
      <c r="B684" s="26">
        <v>45970</v>
      </c>
      <c r="C684" s="27">
        <v>505.46</v>
      </c>
    </row>
    <row r="685" spans="2:3" x14ac:dyDescent="0.25">
      <c r="B685" s="26">
        <v>45971</v>
      </c>
      <c r="C685" s="27">
        <v>505.46</v>
      </c>
    </row>
    <row r="686" spans="2:3" x14ac:dyDescent="0.25">
      <c r="B686" s="26">
        <v>45972</v>
      </c>
      <c r="C686" s="27">
        <v>504.88</v>
      </c>
    </row>
    <row r="687" spans="2:3" x14ac:dyDescent="0.25">
      <c r="B687" s="26">
        <v>45973</v>
      </c>
      <c r="C687" s="27">
        <v>505.39</v>
      </c>
    </row>
    <row r="688" spans="2:3" x14ac:dyDescent="0.25">
      <c r="B688" s="26">
        <v>45974</v>
      </c>
      <c r="C688" s="27">
        <v>503.92</v>
      </c>
    </row>
    <row r="689" spans="2:3" x14ac:dyDescent="0.25">
      <c r="B689" s="26">
        <v>45975</v>
      </c>
      <c r="C689" s="27">
        <v>502.57</v>
      </c>
    </row>
    <row r="690" spans="2:3" x14ac:dyDescent="0.25">
      <c r="B690" s="26">
        <v>45976</v>
      </c>
      <c r="C690" s="27">
        <v>501.38</v>
      </c>
    </row>
    <row r="691" spans="2:3" x14ac:dyDescent="0.25">
      <c r="B691" s="26">
        <v>45977</v>
      </c>
      <c r="C691" s="27">
        <v>501.38</v>
      </c>
    </row>
    <row r="692" spans="2:3" x14ac:dyDescent="0.25">
      <c r="B692" s="26">
        <v>45978</v>
      </c>
      <c r="C692" s="27">
        <v>501.38</v>
      </c>
    </row>
    <row r="693" spans="2:3" x14ac:dyDescent="0.25">
      <c r="B693" s="26">
        <v>45979</v>
      </c>
      <c r="C693" s="27">
        <v>501.83</v>
      </c>
    </row>
    <row r="694" spans="2:3" x14ac:dyDescent="0.25">
      <c r="B694" s="26">
        <v>45980</v>
      </c>
      <c r="C694" s="27">
        <v>501.83</v>
      </c>
    </row>
    <row r="695" spans="2:3" x14ac:dyDescent="0.25">
      <c r="B695" s="26">
        <v>45981</v>
      </c>
      <c r="C695" s="27">
        <v>502.16</v>
      </c>
    </row>
    <row r="696" spans="2:3" x14ac:dyDescent="0.25">
      <c r="B696" s="26">
        <v>45982</v>
      </c>
      <c r="C696" s="27">
        <v>502.34</v>
      </c>
    </row>
    <row r="697" spans="2:3" x14ac:dyDescent="0.25">
      <c r="B697" s="26">
        <v>45983</v>
      </c>
      <c r="C697" s="27">
        <v>501.6</v>
      </c>
    </row>
    <row r="698" spans="2:3" x14ac:dyDescent="0.25">
      <c r="B698" s="26">
        <v>45984</v>
      </c>
      <c r="C698" s="27">
        <v>501.6</v>
      </c>
    </row>
    <row r="699" spans="2:3" x14ac:dyDescent="0.25">
      <c r="B699" s="26">
        <v>45985</v>
      </c>
      <c r="C699" s="27">
        <v>501.6</v>
      </c>
    </row>
    <row r="700" spans="2:3" x14ac:dyDescent="0.25">
      <c r="B700" s="26">
        <v>45986</v>
      </c>
      <c r="C700" s="27">
        <v>499.82</v>
      </c>
    </row>
    <row r="701" spans="2:3" x14ac:dyDescent="0.25">
      <c r="B701" s="26">
        <v>45987</v>
      </c>
      <c r="C701" s="27">
        <v>498.4</v>
      </c>
    </row>
    <row r="702" spans="2:3" x14ac:dyDescent="0.25">
      <c r="B702" s="26">
        <v>45988</v>
      </c>
      <c r="C702" s="27">
        <v>497.9</v>
      </c>
    </row>
    <row r="703" spans="2:3" x14ac:dyDescent="0.25">
      <c r="B703" s="26">
        <v>45989</v>
      </c>
      <c r="C703" s="27">
        <v>496.59</v>
      </c>
    </row>
    <row r="704" spans="2:3" x14ac:dyDescent="0.25">
      <c r="B704" s="26">
        <v>45990</v>
      </c>
      <c r="C704" s="27">
        <v>496.39</v>
      </c>
    </row>
    <row r="705" spans="2:3" x14ac:dyDescent="0.25">
      <c r="B705" s="26">
        <v>45991</v>
      </c>
      <c r="C705" s="27">
        <v>496.39</v>
      </c>
    </row>
    <row r="706" spans="2:3" x14ac:dyDescent="0.25">
      <c r="B706" s="26">
        <v>45992</v>
      </c>
      <c r="C706" s="27">
        <v>496.39</v>
      </c>
    </row>
    <row r="707" spans="2:3" x14ac:dyDescent="0.25">
      <c r="B707" s="26">
        <v>45993</v>
      </c>
      <c r="C707" s="27">
        <v>496.39</v>
      </c>
    </row>
    <row r="708" spans="2:3" x14ac:dyDescent="0.25">
      <c r="B708" s="26">
        <v>45994</v>
      </c>
      <c r="C708" s="27">
        <v>494.36</v>
      </c>
    </row>
    <row r="709" spans="2:3" x14ac:dyDescent="0.25">
      <c r="B709" s="26">
        <v>45995</v>
      </c>
      <c r="C709" s="27">
        <v>492.91</v>
      </c>
    </row>
    <row r="710" spans="2:3" x14ac:dyDescent="0.25">
      <c r="B710" s="26">
        <v>45996</v>
      </c>
      <c r="C710" s="27">
        <v>490.78</v>
      </c>
    </row>
    <row r="711" spans="2:3" x14ac:dyDescent="0.25">
      <c r="B711" s="26">
        <v>45997</v>
      </c>
      <c r="C711" s="27">
        <v>491.54</v>
      </c>
    </row>
    <row r="712" spans="2:3" x14ac:dyDescent="0.25">
      <c r="B712" s="26">
        <v>45998</v>
      </c>
      <c r="C712" s="27">
        <v>491.54</v>
      </c>
    </row>
    <row r="713" spans="2:3" x14ac:dyDescent="0.25">
      <c r="B713" s="26">
        <v>45999</v>
      </c>
      <c r="C713" s="27">
        <v>491.54</v>
      </c>
    </row>
    <row r="714" spans="2:3" x14ac:dyDescent="0.25">
      <c r="B714" s="26">
        <v>46000</v>
      </c>
      <c r="C714" s="27">
        <v>492.57</v>
      </c>
    </row>
    <row r="715" spans="2:3" x14ac:dyDescent="0.25">
      <c r="B715" s="26">
        <v>46001</v>
      </c>
      <c r="C715" s="27">
        <v>495.26</v>
      </c>
    </row>
    <row r="716" spans="2:3" x14ac:dyDescent="0.25">
      <c r="B716" s="26">
        <v>46002</v>
      </c>
      <c r="C716" s="27">
        <v>501.76</v>
      </c>
    </row>
    <row r="717" spans="2:3" x14ac:dyDescent="0.25">
      <c r="B717" s="26">
        <v>46003</v>
      </c>
      <c r="C717" s="27">
        <v>502.14</v>
      </c>
    </row>
    <row r="718" spans="2:3" x14ac:dyDescent="0.25">
      <c r="B718" s="26">
        <v>46004</v>
      </c>
      <c r="C718" s="27">
        <v>500.49</v>
      </c>
    </row>
    <row r="719" spans="2:3" x14ac:dyDescent="0.25">
      <c r="B719" s="26">
        <v>46005</v>
      </c>
      <c r="C719" s="27">
        <v>500.49</v>
      </c>
    </row>
    <row r="720" spans="2:3" x14ac:dyDescent="0.25">
      <c r="B720" s="26">
        <v>46006</v>
      </c>
      <c r="C720" s="27">
        <v>500.49</v>
      </c>
    </row>
    <row r="721" spans="2:3" x14ac:dyDescent="0.25">
      <c r="B721" s="26">
        <v>46007</v>
      </c>
      <c r="C721" s="27">
        <v>498.48</v>
      </c>
    </row>
    <row r="722" spans="2:3" x14ac:dyDescent="0.25">
      <c r="B722" s="26">
        <v>46008</v>
      </c>
      <c r="C722" s="27">
        <v>498.03</v>
      </c>
    </row>
    <row r="723" spans="2:3" x14ac:dyDescent="0.25">
      <c r="B723" s="26">
        <v>46009</v>
      </c>
      <c r="C723" s="27">
        <v>498.51</v>
      </c>
    </row>
    <row r="724" spans="2:3" x14ac:dyDescent="0.25">
      <c r="B724" s="26">
        <v>46010</v>
      </c>
      <c r="C724" s="27">
        <v>497.59</v>
      </c>
    </row>
    <row r="725" spans="2:3" x14ac:dyDescent="0.25">
      <c r="B725" s="26">
        <v>46011</v>
      </c>
      <c r="C725" s="27">
        <v>498.05</v>
      </c>
    </row>
    <row r="726" spans="2:3" x14ac:dyDescent="0.25">
      <c r="B726" s="26">
        <v>46012</v>
      </c>
      <c r="C726" s="27">
        <v>498.05</v>
      </c>
    </row>
    <row r="727" spans="2:3" x14ac:dyDescent="0.25">
      <c r="B727" s="26">
        <v>46013</v>
      </c>
      <c r="C727" s="27">
        <v>498.05</v>
      </c>
    </row>
    <row r="728" spans="2:3" x14ac:dyDescent="0.25">
      <c r="B728" s="26">
        <v>46014</v>
      </c>
      <c r="C728" s="27">
        <v>498.19</v>
      </c>
    </row>
    <row r="729" spans="2:3" x14ac:dyDescent="0.25">
      <c r="B729" s="26">
        <v>46015</v>
      </c>
      <c r="C729" s="27">
        <v>499.78</v>
      </c>
    </row>
    <row r="730" spans="2:3" x14ac:dyDescent="0.25">
      <c r="B730" s="26">
        <v>46016</v>
      </c>
      <c r="C730" s="27">
        <v>501.93</v>
      </c>
    </row>
    <row r="731" spans="2:3" x14ac:dyDescent="0.25">
      <c r="B731" s="26">
        <v>46017</v>
      </c>
      <c r="C731" s="27">
        <v>501.93</v>
      </c>
    </row>
    <row r="732" spans="2:3" x14ac:dyDescent="0.25">
      <c r="B732" s="26">
        <v>46018</v>
      </c>
      <c r="C732" s="27">
        <v>500.27</v>
      </c>
    </row>
    <row r="733" spans="2:3" x14ac:dyDescent="0.25">
      <c r="B733" s="26">
        <v>46019</v>
      </c>
      <c r="C733" s="27">
        <v>500.27</v>
      </c>
    </row>
    <row r="734" spans="2:3" x14ac:dyDescent="0.25">
      <c r="B734" s="26">
        <v>46020</v>
      </c>
      <c r="C734" s="27">
        <v>500.27</v>
      </c>
    </row>
    <row r="735" spans="2:3" x14ac:dyDescent="0.25">
      <c r="B735" s="26">
        <v>46021</v>
      </c>
      <c r="C735" s="27">
        <v>501.08</v>
      </c>
    </row>
    <row r="736" spans="2:3" x14ac:dyDescent="0.25">
      <c r="B736" s="26">
        <v>46022</v>
      </c>
      <c r="C736" s="27">
        <v>501.42</v>
      </c>
    </row>
    <row r="737" spans="2:3" x14ac:dyDescent="0.25">
      <c r="B737" s="26">
        <v>46023</v>
      </c>
      <c r="C737" s="27">
        <v>501.42</v>
      </c>
    </row>
    <row r="738" spans="2:3" x14ac:dyDescent="0.25">
      <c r="B738" s="26">
        <v>46024</v>
      </c>
      <c r="C738" s="27">
        <v>501.42</v>
      </c>
    </row>
    <row r="739" spans="2:3" x14ac:dyDescent="0.25">
      <c r="B739" s="26">
        <v>46025</v>
      </c>
      <c r="C739" s="27">
        <v>502.64</v>
      </c>
    </row>
    <row r="740" spans="2:3" x14ac:dyDescent="0.25">
      <c r="B740" s="26">
        <v>46026</v>
      </c>
      <c r="C740" s="27">
        <v>502.64</v>
      </c>
    </row>
    <row r="741" spans="2:3" x14ac:dyDescent="0.25">
      <c r="B741" s="26">
        <v>46027</v>
      </c>
      <c r="C741" s="27">
        <v>502.64</v>
      </c>
    </row>
    <row r="742" spans="2:3" x14ac:dyDescent="0.25">
      <c r="B742" s="26">
        <v>46028</v>
      </c>
      <c r="C742" s="27">
        <v>500.4</v>
      </c>
    </row>
    <row r="743" spans="2:3" x14ac:dyDescent="0.25">
      <c r="B743" s="26">
        <v>46029</v>
      </c>
      <c r="C743" s="27">
        <v>500.57</v>
      </c>
    </row>
    <row r="744" spans="2:3" x14ac:dyDescent="0.25">
      <c r="B744" s="26">
        <v>46030</v>
      </c>
      <c r="C744" s="27">
        <v>500.15</v>
      </c>
    </row>
    <row r="745" spans="2:3" x14ac:dyDescent="0.25">
      <c r="B745" s="26">
        <v>46031</v>
      </c>
      <c r="C745" s="27">
        <v>500.23</v>
      </c>
    </row>
    <row r="746" spans="2:3" x14ac:dyDescent="0.25">
      <c r="B746" s="26">
        <v>46032</v>
      </c>
      <c r="C746" s="27">
        <v>501.15</v>
      </c>
    </row>
    <row r="747" spans="2:3" x14ac:dyDescent="0.25">
      <c r="B747" s="26">
        <v>46033</v>
      </c>
      <c r="C747" s="27">
        <v>501.15</v>
      </c>
    </row>
    <row r="748" spans="2:3" x14ac:dyDescent="0.25">
      <c r="B748" s="26">
        <v>46034</v>
      </c>
      <c r="C748" s="27">
        <v>501.15</v>
      </c>
    </row>
    <row r="749" spans="2:3" x14ac:dyDescent="0.25">
      <c r="B749" s="26">
        <v>46035</v>
      </c>
      <c r="C749" s="27">
        <v>499.84</v>
      </c>
    </row>
    <row r="750" spans="2:3" x14ac:dyDescent="0.25">
      <c r="B750" s="26">
        <v>46036</v>
      </c>
      <c r="C750" s="27">
        <v>496.82</v>
      </c>
    </row>
    <row r="751" spans="2:3" x14ac:dyDescent="0.25">
      <c r="B751" s="26">
        <v>46037</v>
      </c>
      <c r="C751" s="27">
        <v>495.38</v>
      </c>
    </row>
    <row r="752" spans="2:3" x14ac:dyDescent="0.25">
      <c r="B752" s="26">
        <v>46038</v>
      </c>
      <c r="C752" s="27">
        <v>491.51</v>
      </c>
    </row>
    <row r="753" spans="2:3" x14ac:dyDescent="0.25">
      <c r="B753" s="26">
        <v>46039</v>
      </c>
      <c r="C753" s="27">
        <v>490.28</v>
      </c>
    </row>
    <row r="754" spans="2:3" x14ac:dyDescent="0.25">
      <c r="B754" s="26">
        <v>46040</v>
      </c>
      <c r="C754" s="27">
        <v>490.28</v>
      </c>
    </row>
    <row r="755" spans="2:3" x14ac:dyDescent="0.25">
      <c r="B755" s="26">
        <v>46041</v>
      </c>
      <c r="C755" s="27">
        <v>490.28</v>
      </c>
    </row>
    <row r="756" spans="2:3" x14ac:dyDescent="0.25">
      <c r="B756" s="26">
        <v>46042</v>
      </c>
      <c r="C756" s="27">
        <v>490.87</v>
      </c>
    </row>
    <row r="757" spans="2:3" x14ac:dyDescent="0.25">
      <c r="B757" s="26">
        <v>46043</v>
      </c>
      <c r="C757" s="27">
        <v>492.44</v>
      </c>
    </row>
    <row r="758" spans="2:3" x14ac:dyDescent="0.25">
      <c r="B758" s="26">
        <v>46044</v>
      </c>
      <c r="C758" s="27">
        <v>494.27</v>
      </c>
    </row>
    <row r="759" spans="2:3" x14ac:dyDescent="0.25">
      <c r="B759" s="26">
        <v>46045</v>
      </c>
      <c r="C759" s="27">
        <v>497.49</v>
      </c>
    </row>
    <row r="760" spans="2:3" x14ac:dyDescent="0.25">
      <c r="B760" s="26">
        <v>46046</v>
      </c>
      <c r="C760" s="27">
        <v>500.22</v>
      </c>
    </row>
    <row r="761" spans="2:3" x14ac:dyDescent="0.25">
      <c r="B761" s="26">
        <v>46047</v>
      </c>
      <c r="C761" s="27">
        <v>500.22</v>
      </c>
    </row>
    <row r="762" spans="2:3" x14ac:dyDescent="0.25">
      <c r="B762" s="26">
        <v>46048</v>
      </c>
      <c r="C762" s="27">
        <v>500.22</v>
      </c>
    </row>
    <row r="763" spans="2:3" x14ac:dyDescent="0.25">
      <c r="B763" s="26">
        <v>46049</v>
      </c>
      <c r="C763" s="27">
        <v>500.8</v>
      </c>
    </row>
    <row r="764" spans="2:3" x14ac:dyDescent="0.25">
      <c r="B764" s="26">
        <v>46050</v>
      </c>
      <c r="C764" s="27">
        <v>496.41</v>
      </c>
    </row>
    <row r="765" spans="2:3" x14ac:dyDescent="0.25">
      <c r="B765" s="26">
        <v>46051</v>
      </c>
      <c r="C765" s="27">
        <v>496.55</v>
      </c>
    </row>
    <row r="766" spans="2:3" x14ac:dyDescent="0.25">
      <c r="B766" s="26">
        <v>46052</v>
      </c>
      <c r="C766" s="27">
        <v>497.46</v>
      </c>
    </row>
    <row r="767" spans="2:3" x14ac:dyDescent="0.25">
      <c r="B767" s="26">
        <v>46053</v>
      </c>
      <c r="C767" s="27">
        <v>499.37</v>
      </c>
    </row>
    <row r="768" spans="2:3" x14ac:dyDescent="0.25">
      <c r="B768" s="26">
        <v>46054</v>
      </c>
      <c r="C768" s="27">
        <v>499.37</v>
      </c>
    </row>
    <row r="769" spans="2:3" x14ac:dyDescent="0.25">
      <c r="B769" s="26">
        <v>46055</v>
      </c>
      <c r="C769" s="27">
        <v>499.37</v>
      </c>
    </row>
    <row r="770" spans="2:3" x14ac:dyDescent="0.25">
      <c r="B770" s="26">
        <v>46056</v>
      </c>
      <c r="C770" s="27">
        <v>498.16</v>
      </c>
    </row>
    <row r="771" spans="2:3" x14ac:dyDescent="0.25">
      <c r="B771" s="26">
        <v>46057</v>
      </c>
      <c r="C771" s="27">
        <v>497.72</v>
      </c>
    </row>
    <row r="772" spans="2:3" x14ac:dyDescent="0.25">
      <c r="B772" s="26">
        <v>46058</v>
      </c>
      <c r="C772" s="27">
        <v>498.93</v>
      </c>
    </row>
    <row r="773" spans="2:3" x14ac:dyDescent="0.25">
      <c r="B773" s="26">
        <v>46059</v>
      </c>
      <c r="C773" s="27">
        <v>496.18</v>
      </c>
    </row>
    <row r="774" spans="2:3" x14ac:dyDescent="0.25">
      <c r="B774" s="26">
        <v>46060</v>
      </c>
      <c r="C774" s="27">
        <v>496.44</v>
      </c>
    </row>
    <row r="775" spans="2:3" x14ac:dyDescent="0.25">
      <c r="B775" s="26">
        <v>46061</v>
      </c>
      <c r="C775" s="27">
        <v>496.44</v>
      </c>
    </row>
    <row r="776" spans="2:3" x14ac:dyDescent="0.25">
      <c r="B776" s="26">
        <v>46062</v>
      </c>
      <c r="C776" s="27">
        <v>496.44</v>
      </c>
    </row>
    <row r="777" spans="2:3" x14ac:dyDescent="0.25">
      <c r="B777" s="26">
        <v>46063</v>
      </c>
      <c r="C777" s="27">
        <v>494.9</v>
      </c>
    </row>
    <row r="778" spans="2:3" x14ac:dyDescent="0.25">
      <c r="B778" s="26">
        <v>46064</v>
      </c>
      <c r="C778" s="27">
        <v>492.84</v>
      </c>
    </row>
    <row r="779" spans="2:3" x14ac:dyDescent="0.25">
      <c r="B779" s="26">
        <v>46065</v>
      </c>
      <c r="C779" s="27">
        <v>490.28</v>
      </c>
    </row>
    <row r="780" spans="2:3" x14ac:dyDescent="0.25">
      <c r="B780" s="26">
        <v>46066</v>
      </c>
      <c r="C780" s="27">
        <v>487.69</v>
      </c>
    </row>
    <row r="781" spans="2:3" x14ac:dyDescent="0.25">
      <c r="B781" s="26">
        <v>46067</v>
      </c>
      <c r="C781" s="27">
        <v>485.72</v>
      </c>
    </row>
    <row r="782" spans="2:3" x14ac:dyDescent="0.25">
      <c r="B782" s="26">
        <v>46068</v>
      </c>
      <c r="C782" s="27">
        <v>485.72</v>
      </c>
    </row>
    <row r="783" spans="2:3" x14ac:dyDescent="0.25">
      <c r="B783" s="26">
        <v>46069</v>
      </c>
      <c r="C783" s="27">
        <v>485.72</v>
      </c>
    </row>
    <row r="784" spans="2:3" x14ac:dyDescent="0.25">
      <c r="B784" s="26">
        <v>46070</v>
      </c>
      <c r="C784" s="27">
        <v>484.84</v>
      </c>
    </row>
    <row r="785" spans="2:3" x14ac:dyDescent="0.25">
      <c r="B785" s="26">
        <v>46071</v>
      </c>
      <c r="C785" s="27">
        <v>484.62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7472-F0C6-4020-BECB-8241F7783AB3}">
  <dimension ref="A1:K30"/>
  <sheetViews>
    <sheetView workbookViewId="0"/>
  </sheetViews>
  <sheetFormatPr defaultRowHeight="12" x14ac:dyDescent="0.2"/>
  <cols>
    <col min="1" max="1" width="2" style="33" customWidth="1"/>
    <col min="2" max="2" width="43" style="33" bestFit="1" customWidth="1"/>
    <col min="3" max="3" width="6.42578125" style="33" bestFit="1" customWidth="1"/>
    <col min="4" max="4" width="19.28515625" style="33" bestFit="1" customWidth="1"/>
    <col min="5" max="5" width="20.42578125" style="33" bestFit="1" customWidth="1"/>
    <col min="6" max="6" width="23.85546875" style="33" bestFit="1" customWidth="1"/>
    <col min="7" max="11" width="24.7109375" style="33" customWidth="1"/>
    <col min="12" max="16384" width="9.140625" style="33"/>
  </cols>
  <sheetData>
    <row r="1" spans="1:11" ht="15.75" x14ac:dyDescent="0.25">
      <c r="A1" s="35"/>
      <c r="B1" s="38" t="s">
        <v>478</v>
      </c>
      <c r="C1" s="39"/>
      <c r="D1" s="35"/>
      <c r="E1" s="35"/>
      <c r="F1" s="35"/>
      <c r="G1" s="35"/>
      <c r="H1" s="35"/>
      <c r="I1" s="35"/>
      <c r="J1" s="35"/>
      <c r="K1" s="35"/>
    </row>
    <row r="2" spans="1:11" ht="15.75" x14ac:dyDescent="0.25">
      <c r="A2" s="35"/>
      <c r="B2" s="38" t="s">
        <v>477</v>
      </c>
      <c r="C2" s="35"/>
      <c r="D2" s="35"/>
      <c r="E2" s="35"/>
      <c r="F2" s="35"/>
      <c r="G2" s="35"/>
      <c r="H2" s="35"/>
      <c r="I2" s="35"/>
      <c r="J2" s="35"/>
      <c r="K2" s="35"/>
    </row>
    <row r="3" spans="1:11" ht="15.75" x14ac:dyDescent="0.25">
      <c r="A3" s="35"/>
      <c r="B3" s="38" t="s">
        <v>476</v>
      </c>
      <c r="C3" s="35"/>
      <c r="D3" s="35"/>
      <c r="E3" s="35"/>
      <c r="F3" s="35"/>
      <c r="G3" s="35"/>
      <c r="H3" s="35"/>
      <c r="I3" s="35"/>
      <c r="J3" s="35"/>
      <c r="K3" s="35"/>
    </row>
    <row r="5" spans="1:11" x14ac:dyDescent="0.2">
      <c r="B5" s="37"/>
      <c r="C5" s="36" t="s">
        <v>475</v>
      </c>
      <c r="D5" s="36" t="s">
        <v>474</v>
      </c>
      <c r="E5" s="36" t="s">
        <v>473</v>
      </c>
      <c r="F5" s="36" t="s">
        <v>472</v>
      </c>
      <c r="G5" s="35"/>
      <c r="H5" s="35"/>
      <c r="I5" s="35"/>
      <c r="J5" s="35"/>
      <c r="K5" s="35"/>
    </row>
    <row r="6" spans="1:11" x14ac:dyDescent="0.2">
      <c r="A6" s="35"/>
      <c r="B6" s="35" t="s">
        <v>471</v>
      </c>
      <c r="C6" s="34">
        <v>109.52906634999999</v>
      </c>
      <c r="D6" s="34">
        <v>5.5097269999999997E-2</v>
      </c>
      <c r="E6" s="34">
        <v>-1.86863398</v>
      </c>
      <c r="F6" s="34">
        <v>5.5097260000000002E-2</v>
      </c>
      <c r="G6" s="34"/>
      <c r="H6" s="34"/>
      <c r="I6" s="34"/>
      <c r="J6" s="34"/>
      <c r="K6" s="34"/>
    </row>
    <row r="7" spans="1:11" x14ac:dyDescent="0.2">
      <c r="A7" s="35"/>
      <c r="B7" s="35" t="s">
        <v>470</v>
      </c>
      <c r="C7" s="34">
        <v>109.4111146</v>
      </c>
      <c r="D7" s="34">
        <v>-0.10768991</v>
      </c>
      <c r="E7" s="34">
        <v>-1.13140602</v>
      </c>
      <c r="F7" s="34">
        <v>-5.2651969999999999E-2</v>
      </c>
      <c r="G7" s="34"/>
      <c r="H7" s="34"/>
      <c r="I7" s="34"/>
      <c r="J7" s="34"/>
      <c r="K7" s="34"/>
    </row>
    <row r="8" spans="1:11" x14ac:dyDescent="0.2">
      <c r="A8" s="35"/>
      <c r="B8" s="35" t="s">
        <v>469</v>
      </c>
      <c r="C8" s="34">
        <v>109.10052736</v>
      </c>
      <c r="D8" s="34">
        <v>-0.28387173999999998</v>
      </c>
      <c r="E8" s="34">
        <v>-1.1863148400000001</v>
      </c>
      <c r="F8" s="34">
        <v>-0.33637425999999998</v>
      </c>
      <c r="G8" s="34"/>
      <c r="H8" s="34"/>
      <c r="I8" s="34"/>
      <c r="J8" s="34"/>
      <c r="K8" s="34"/>
    </row>
    <row r="9" spans="1:11" x14ac:dyDescent="0.2">
      <c r="A9" s="35"/>
      <c r="B9" s="35" t="s">
        <v>468</v>
      </c>
      <c r="C9" s="34">
        <v>109.45778192</v>
      </c>
      <c r="D9" s="34">
        <v>0.32745447999999999</v>
      </c>
      <c r="E9" s="34">
        <v>-0.52081297000000004</v>
      </c>
      <c r="F9" s="34">
        <v>-1.0021260000000001E-2</v>
      </c>
      <c r="G9" s="34"/>
      <c r="H9" s="34"/>
      <c r="I9" s="34"/>
      <c r="J9" s="34"/>
      <c r="K9" s="34"/>
    </row>
    <row r="10" spans="1:11" x14ac:dyDescent="0.2">
      <c r="A10" s="35"/>
      <c r="B10" s="35" t="s">
        <v>467</v>
      </c>
      <c r="C10" s="34">
        <v>109.54703268999999</v>
      </c>
      <c r="D10" s="34">
        <v>8.1538990000000006E-2</v>
      </c>
      <c r="E10" s="34">
        <v>-0.33476581999999999</v>
      </c>
      <c r="F10" s="34">
        <v>7.1509569999999995E-2</v>
      </c>
      <c r="G10" s="34"/>
      <c r="H10" s="34"/>
      <c r="I10" s="34"/>
      <c r="J10" s="34"/>
      <c r="K10" s="34"/>
    </row>
    <row r="11" spans="1:11" x14ac:dyDescent="0.2">
      <c r="A11" s="35"/>
      <c r="B11" s="35" t="s">
        <v>466</v>
      </c>
      <c r="C11" s="34">
        <v>109.70548476</v>
      </c>
      <c r="D11" s="34">
        <v>0.14464295999999999</v>
      </c>
      <c r="E11" s="34">
        <v>-3.3756990000000001E-2</v>
      </c>
      <c r="F11" s="34">
        <v>0.21625596</v>
      </c>
      <c r="G11" s="34"/>
      <c r="H11" s="34"/>
      <c r="I11" s="34"/>
      <c r="J11" s="34"/>
      <c r="K11" s="34"/>
    </row>
    <row r="12" spans="1:11" x14ac:dyDescent="0.2">
      <c r="A12" s="35"/>
      <c r="B12" s="35" t="s">
        <v>465</v>
      </c>
      <c r="C12" s="34">
        <v>109.57204643</v>
      </c>
      <c r="D12" s="34">
        <v>-0.12163322999999999</v>
      </c>
      <c r="E12" s="34">
        <v>3.1874550000000001E-2</v>
      </c>
      <c r="F12" s="34">
        <v>9.4359689999999996E-2</v>
      </c>
      <c r="G12" s="34"/>
      <c r="H12" s="34"/>
      <c r="I12" s="34"/>
      <c r="J12" s="34"/>
      <c r="K12" s="34"/>
    </row>
    <row r="13" spans="1:11" x14ac:dyDescent="0.2">
      <c r="A13" s="35"/>
      <c r="B13" s="35" t="s">
        <v>464</v>
      </c>
      <c r="C13" s="34">
        <v>109.69819957</v>
      </c>
      <c r="D13" s="34">
        <v>0.11513259000000001</v>
      </c>
      <c r="E13" s="34">
        <v>0.31250424999999998</v>
      </c>
      <c r="F13" s="34">
        <v>0.20960092</v>
      </c>
      <c r="G13" s="34"/>
      <c r="H13" s="34"/>
      <c r="I13" s="34"/>
      <c r="J13" s="34"/>
      <c r="K13" s="34"/>
    </row>
    <row r="14" spans="1:11" x14ac:dyDescent="0.2">
      <c r="A14" s="35"/>
      <c r="B14" s="35" t="s">
        <v>463</v>
      </c>
      <c r="C14" s="34">
        <v>109.33301018</v>
      </c>
      <c r="D14" s="34">
        <v>-0.33290372000000001</v>
      </c>
      <c r="E14" s="34">
        <v>-0.13585182000000001</v>
      </c>
      <c r="F14" s="34">
        <v>-0.12400057</v>
      </c>
      <c r="G14" s="34"/>
      <c r="H14" s="34"/>
      <c r="I14" s="34"/>
      <c r="J14" s="34"/>
      <c r="K14" s="34"/>
    </row>
    <row r="15" spans="1:11" x14ac:dyDescent="0.2">
      <c r="A15" s="35"/>
      <c r="B15" s="35" t="s">
        <v>462</v>
      </c>
      <c r="C15" s="34">
        <v>108.84745042</v>
      </c>
      <c r="D15" s="34">
        <v>-0.44411085</v>
      </c>
      <c r="E15" s="34">
        <v>-0.78639460000000005</v>
      </c>
      <c r="F15" s="34">
        <v>-0.56756072000000002</v>
      </c>
      <c r="G15" s="34"/>
      <c r="H15" s="34"/>
      <c r="I15" s="34"/>
      <c r="J15" s="34"/>
      <c r="K15" s="34"/>
    </row>
    <row r="16" spans="1:11" x14ac:dyDescent="0.2">
      <c r="A16" s="35"/>
      <c r="B16" s="35" t="s">
        <v>461</v>
      </c>
      <c r="C16" s="34">
        <v>109.35763409</v>
      </c>
      <c r="D16" s="34">
        <v>0.46871439999999998</v>
      </c>
      <c r="E16" s="34">
        <v>-9.1822550000000003E-2</v>
      </c>
      <c r="F16" s="34">
        <v>-0.10150656</v>
      </c>
      <c r="G16" s="34"/>
      <c r="H16" s="34"/>
      <c r="I16" s="34"/>
      <c r="J16" s="34"/>
      <c r="K16" s="34"/>
    </row>
    <row r="17" spans="1:11" x14ac:dyDescent="0.2">
      <c r="A17" s="35"/>
      <c r="B17" s="35" t="s">
        <v>460</v>
      </c>
      <c r="C17" s="34">
        <v>110.39017167</v>
      </c>
      <c r="D17" s="34">
        <v>0.94418427000000005</v>
      </c>
      <c r="E17" s="34">
        <v>0.84171929999999995</v>
      </c>
      <c r="F17" s="34">
        <v>0.84171929999999995</v>
      </c>
      <c r="G17" s="34"/>
      <c r="H17" s="34"/>
      <c r="I17" s="34"/>
      <c r="J17" s="34"/>
      <c r="K17" s="34"/>
    </row>
    <row r="18" spans="1:11" x14ac:dyDescent="0.2">
      <c r="A18" s="35"/>
      <c r="B18" s="35" t="s">
        <v>459</v>
      </c>
      <c r="C18" s="34">
        <v>110.78919062</v>
      </c>
      <c r="D18" s="34">
        <v>0.36146239000000002</v>
      </c>
      <c r="E18" s="34">
        <v>1.15049303</v>
      </c>
      <c r="F18" s="34">
        <v>0.36146239000000002</v>
      </c>
      <c r="G18" s="34"/>
      <c r="H18" s="34"/>
      <c r="I18" s="34"/>
      <c r="J18" s="34"/>
      <c r="K18" s="34"/>
    </row>
    <row r="19" spans="1:11" x14ac:dyDescent="0.2">
      <c r="A19" s="35"/>
      <c r="B19" s="35" t="s">
        <v>458</v>
      </c>
      <c r="C19" s="34">
        <v>110.77496945</v>
      </c>
      <c r="D19" s="34">
        <v>-1.283624E-2</v>
      </c>
      <c r="E19" s="34">
        <v>1.2465414100000001</v>
      </c>
      <c r="F19" s="34">
        <v>0.34857975000000002</v>
      </c>
      <c r="G19" s="34"/>
      <c r="H19" s="34"/>
      <c r="I19" s="34"/>
      <c r="J19" s="34"/>
      <c r="K19" s="34"/>
    </row>
    <row r="20" spans="1:11" x14ac:dyDescent="0.2">
      <c r="A20" s="35"/>
      <c r="B20" s="35" t="s">
        <v>457</v>
      </c>
      <c r="C20" s="34">
        <v>110.4234632</v>
      </c>
      <c r="D20" s="34">
        <v>-0.31731558999999998</v>
      </c>
      <c r="E20" s="34">
        <v>1.21258428</v>
      </c>
      <c r="F20" s="34">
        <v>3.015806E-2</v>
      </c>
      <c r="G20" s="34"/>
      <c r="H20" s="34"/>
      <c r="I20" s="34"/>
      <c r="J20" s="34"/>
      <c r="K20" s="34"/>
    </row>
    <row r="21" spans="1:11" x14ac:dyDescent="0.2">
      <c r="A21" s="35"/>
      <c r="B21" s="35" t="s">
        <v>456</v>
      </c>
      <c r="C21" s="34">
        <v>109.86484411000001</v>
      </c>
      <c r="D21" s="34">
        <v>-0.50588803999999998</v>
      </c>
      <c r="E21" s="34">
        <v>0.37188968</v>
      </c>
      <c r="F21" s="34">
        <v>-0.47588254000000002</v>
      </c>
      <c r="G21" s="34"/>
      <c r="H21" s="34"/>
      <c r="I21" s="34"/>
      <c r="J21" s="34"/>
      <c r="K21" s="34"/>
    </row>
    <row r="22" spans="1:11" x14ac:dyDescent="0.2">
      <c r="A22" s="35"/>
      <c r="B22" s="35" t="s">
        <v>455</v>
      </c>
      <c r="C22" s="34">
        <v>109.4204838</v>
      </c>
      <c r="D22" s="34">
        <v>-0.40446088000000002</v>
      </c>
      <c r="E22" s="34">
        <v>-0.11552013999999999</v>
      </c>
      <c r="F22" s="34">
        <v>-0.87841866000000002</v>
      </c>
      <c r="G22" s="34"/>
      <c r="H22" s="34"/>
      <c r="I22" s="34"/>
      <c r="J22" s="34"/>
      <c r="K22" s="34"/>
    </row>
    <row r="23" spans="1:11" x14ac:dyDescent="0.2">
      <c r="A23" s="35"/>
      <c r="B23" s="35" t="s">
        <v>454</v>
      </c>
      <c r="C23" s="34">
        <v>109.46943792</v>
      </c>
      <c r="D23" s="34">
        <v>4.473945E-2</v>
      </c>
      <c r="E23" s="34">
        <v>-0.21516411999999999</v>
      </c>
      <c r="F23" s="34">
        <v>-0.83407220999999998</v>
      </c>
      <c r="G23" s="34"/>
      <c r="H23" s="34"/>
      <c r="I23" s="34"/>
      <c r="J23" s="34"/>
      <c r="K23" s="34"/>
    </row>
    <row r="24" spans="1:11" x14ac:dyDescent="0.2">
      <c r="A24" s="35"/>
      <c r="B24" s="35" t="s">
        <v>453</v>
      </c>
      <c r="C24" s="34">
        <v>108.90566337999999</v>
      </c>
      <c r="D24" s="34">
        <v>-0.51500632999999996</v>
      </c>
      <c r="E24" s="34">
        <v>-0.60816884999999998</v>
      </c>
      <c r="F24" s="34">
        <v>-1.3447830199999999</v>
      </c>
      <c r="G24" s="34"/>
      <c r="H24" s="34"/>
      <c r="I24" s="34"/>
      <c r="J24" s="34"/>
      <c r="K24" s="34"/>
    </row>
    <row r="25" spans="1:11" x14ac:dyDescent="0.2">
      <c r="A25" s="35"/>
      <c r="B25" s="35" t="s">
        <v>452</v>
      </c>
      <c r="C25" s="34">
        <v>108.67161102999999</v>
      </c>
      <c r="D25" s="34">
        <v>-0.21491293</v>
      </c>
      <c r="E25" s="34">
        <v>-0.93582989000000005</v>
      </c>
      <c r="F25" s="34">
        <v>-1.5568058300000001</v>
      </c>
      <c r="G25" s="34"/>
      <c r="H25" s="34"/>
      <c r="I25" s="34"/>
      <c r="J25" s="34"/>
      <c r="K25" s="34"/>
    </row>
    <row r="26" spans="1:11" x14ac:dyDescent="0.2">
      <c r="A26" s="35"/>
      <c r="B26" s="35" t="s">
        <v>451</v>
      </c>
      <c r="C26" s="34">
        <v>108.23614574</v>
      </c>
      <c r="D26" s="34">
        <v>-0.40071669999999998</v>
      </c>
      <c r="E26" s="34">
        <v>-1.00323264</v>
      </c>
      <c r="F26" s="34">
        <v>-1.95128415</v>
      </c>
      <c r="G26" s="34"/>
      <c r="H26" s="34"/>
      <c r="I26" s="34"/>
      <c r="J26" s="34"/>
      <c r="K26" s="34"/>
    </row>
    <row r="27" spans="1:11" x14ac:dyDescent="0.2">
      <c r="A27" s="35"/>
      <c r="B27" s="35" t="s">
        <v>450</v>
      </c>
      <c r="C27" s="34">
        <v>108.43639759</v>
      </c>
      <c r="D27" s="34">
        <v>0.18501384000000001</v>
      </c>
      <c r="E27" s="34">
        <v>-0.37764121</v>
      </c>
      <c r="F27" s="34">
        <v>-1.76988046</v>
      </c>
      <c r="G27" s="34"/>
      <c r="H27" s="34"/>
      <c r="I27" s="34"/>
      <c r="J27" s="34"/>
      <c r="K27" s="34"/>
    </row>
    <row r="28" spans="1:11" x14ac:dyDescent="0.2">
      <c r="A28" s="35"/>
      <c r="B28" s="35" t="s">
        <v>449</v>
      </c>
      <c r="C28" s="34">
        <v>108.9465016</v>
      </c>
      <c r="D28" s="34">
        <v>0.47041769999999999</v>
      </c>
      <c r="E28" s="34">
        <v>-0.37595224999999999</v>
      </c>
      <c r="F28" s="34">
        <v>-1.3077885899999999</v>
      </c>
      <c r="G28" s="34"/>
      <c r="H28" s="34"/>
      <c r="I28" s="34"/>
      <c r="J28" s="34"/>
      <c r="K28" s="34"/>
    </row>
    <row r="29" spans="1:11" x14ac:dyDescent="0.2">
      <c r="A29" s="35"/>
      <c r="B29" s="35" t="s">
        <v>448</v>
      </c>
      <c r="C29" s="34">
        <v>109.0359301</v>
      </c>
      <c r="D29" s="34">
        <v>8.2084779999999996E-2</v>
      </c>
      <c r="E29" s="34">
        <v>-1.2267773</v>
      </c>
      <c r="F29" s="34">
        <v>-1.2267773</v>
      </c>
      <c r="G29" s="34"/>
      <c r="H29" s="34"/>
      <c r="I29" s="34"/>
      <c r="J29" s="34"/>
      <c r="K29" s="34"/>
    </row>
    <row r="30" spans="1:11" x14ac:dyDescent="0.2">
      <c r="A30" s="35"/>
      <c r="B30" s="35" t="s">
        <v>447</v>
      </c>
      <c r="C30" s="34">
        <v>107.98540251999999</v>
      </c>
      <c r="D30" s="34">
        <v>-0.96346918000000004</v>
      </c>
      <c r="E30" s="34">
        <v>-2.53074157</v>
      </c>
      <c r="F30" s="34">
        <v>-0.96346918000000004</v>
      </c>
      <c r="G30" s="34"/>
      <c r="H30" s="34"/>
      <c r="I30" s="34"/>
      <c r="J30" s="34"/>
      <c r="K30" s="34"/>
    </row>
  </sheetData>
  <pageMargins left="0.79" right="0.79" top="0.98" bottom="0.98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Datos para el modelo</vt:lpstr>
      <vt:lpstr>PD (Morosidad)</vt:lpstr>
      <vt:lpstr>TPM</vt:lpstr>
      <vt:lpstr>Tipo de cambio</vt:lpstr>
      <vt:lpstr>Inflación</vt:lpstr>
      <vt:lpstr>Inflación!DataExported</vt:lpstr>
      <vt:lpstr>TPM!DataExported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Óscar Eduardo Rocha Mora</dc:creator>
  <cp:lastModifiedBy>Óscar Eduardo Rocha Mora</cp:lastModifiedBy>
  <dcterms:created xsi:type="dcterms:W3CDTF">2026-02-18T15:27:43Z</dcterms:created>
  <dcterms:modified xsi:type="dcterms:W3CDTF">2026-02-18T22:43:26Z</dcterms:modified>
</cp:coreProperties>
</file>